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Capex" sheetId="3" state="visible" r:id="rId5"/>
    <sheet name="Opex" sheetId="4" state="visible" r:id="rId6"/>
    <sheet name="Yields" sheetId="5" state="visible" r:id="rId7"/>
    <sheet name="P&amp;L" sheetId="6" state="visible" r:id="rId8"/>
    <sheet name="Cash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<sst xmlns="http://schemas.openxmlformats.org/spreadsheetml/2006/main" count="316" uniqueCount="227">
  <si>
    <t xml:space="preserve">150 kg/day module — cost and P&amp;L</t>
  </si>
  <si>
    <t xml:space="preserve">Closed-loop leach / EW / pyro / BMED / ZnBr2 pack. One 40HC wet + one 20HC thermal + yard.</t>
  </si>
  <si>
    <t xml:space="preserve">Sheets</t>
  </si>
  <si>
    <t xml:space="preserve">Assumptions</t>
  </si>
  <si>
    <t xml:space="preserve">All yellow cells are inputs. Blue text = typed. Black = formula. Green = cross-sheet.</t>
  </si>
  <si>
    <t xml:space="preserve">Capex</t>
  </si>
  <si>
    <t xml:space="preserve">Installed cost of one module. Contingency and working capital separate.</t>
  </si>
  <si>
    <t xml:space="preserve">Opex</t>
  </si>
  <si>
    <t xml:space="preserve">Annual cash cost. Labor, power, membranes, chemicals, maintenance.</t>
  </si>
  <si>
    <t xml:space="preserve">Yields</t>
  </si>
  <si>
    <t xml:space="preserve">kg product per wet tonne by feedstock. From ELECTRICAL.md assays.</t>
  </si>
  <si>
    <t xml:space="preserve">P&amp;L</t>
  </si>
  <si>
    <t xml:space="preserve">Annual P&amp;L for seven feedstocks at 300 operating days.</t>
  </si>
  <si>
    <t xml:space="preserve">Cash</t>
  </si>
  <si>
    <t xml:space="preserve">Simple cash yield, payback, and EBIT margin vs feedstock.</t>
  </si>
  <si>
    <t xml:space="preserve">Basis</t>
  </si>
  <si>
    <t xml:space="preserve">Prices: LME / COMEX / spot 25–26 Sep 2026, applied at a cathode/powder discount. Gold $4,284/oz, silver $64.31/oz, copper ~$6.73/lb LME, nickel $7.42/lb, zinc $1.77/lb, lead $0.88/lb, tin $24.50/lb. Fe as shredded equivalent. This is not a bank model. No offtake contracts, no ITC, no tipping-contract tenor. Change the yellow cells.</t>
  </si>
  <si>
    <t xml:space="preserve">Verdict in one line</t>
  </si>
  <si>
    <t xml:space="preserve">The module makes money on mixed WEEE and PCB-rich feed because gold/copper pay the capex. MSW and bulk landfill pay you a gate fee and still lose money at this scale — auxiliaries and labor do not shrink when the metal grade does. Tailings at 150 kg/day are a science project, not a P&amp;L.</t>
  </si>
  <si>
    <t xml:space="preserve">Assumptions — edit yellow cells</t>
  </si>
  <si>
    <t xml:space="preserve">Item</t>
  </si>
  <si>
    <t xml:space="preserve">Value</t>
  </si>
  <si>
    <t xml:space="preserve">Unit</t>
  </si>
  <si>
    <t xml:space="preserve">Note</t>
  </si>
  <si>
    <t xml:space="preserve">Throughput</t>
  </si>
  <si>
    <t xml:space="preserve">kg/day</t>
  </si>
  <si>
    <t xml:space="preserve">Wet feed into hopper</t>
  </si>
  <si>
    <t xml:space="preserve">Operating days</t>
  </si>
  <si>
    <t xml:space="preserve">d/y</t>
  </si>
  <si>
    <t xml:space="preserve">Rest is maintenance / strip / membrane swap</t>
  </si>
  <si>
    <t xml:space="preserve">Availability</t>
  </si>
  <si>
    <t xml:space="preserve">frac</t>
  </si>
  <si>
    <t xml:space="preserve">Applied on top of 300 days for cash days</t>
  </si>
  <si>
    <t xml:space="preserve">Labor headcount</t>
  </si>
  <si>
    <t xml:space="preserve">FTE</t>
  </si>
  <si>
    <t xml:space="preserve">One operator + shared mechanic</t>
  </si>
  <si>
    <t xml:space="preserve">Loaded labor</t>
  </si>
  <si>
    <t xml:space="preserve">USD/FTE-y</t>
  </si>
  <si>
    <t xml:space="preserve">Dallas-area loaded</t>
  </si>
  <si>
    <t xml:space="preserve">Grid power price</t>
  </si>
  <si>
    <t xml:space="preserve">USD/kWh</t>
  </si>
  <si>
    <t xml:space="preserve">Imported residual after PV</t>
  </si>
  <si>
    <t xml:space="preserve">PV export price</t>
  </si>
  <si>
    <t xml:space="preserve">If net exporter; unused in base</t>
  </si>
  <si>
    <t xml:space="preserve">PV array</t>
  </si>
  <si>
    <t xml:space="preserve">kW-STC</t>
  </si>
  <si>
    <t xml:space="preserve">Ground mount</t>
  </si>
  <si>
    <t xml:space="preserve">PV yield</t>
  </si>
  <si>
    <t xml:space="preserve">kWh/kW-y</t>
  </si>
  <si>
    <t xml:space="preserve">North Texas fixed tilt, derated</t>
  </si>
  <si>
    <t xml:space="preserve">Maintenance</t>
  </si>
  <si>
    <t xml:space="preserve">frac capex/y</t>
  </si>
  <si>
    <t xml:space="preserve">Excludes membranes</t>
  </si>
  <si>
    <t xml:space="preserve">Insurance + lease</t>
  </si>
  <si>
    <t xml:space="preserve">Yard pad + liability</t>
  </si>
  <si>
    <t xml:space="preserve">Membrane spend</t>
  </si>
  <si>
    <t xml:space="preserve">USD/y</t>
  </si>
  <si>
    <t xml:space="preserve">EW + BMED + ZnBr2 CEM</t>
  </si>
  <si>
    <t xml:space="preserve">Chemicals + complexer</t>
  </si>
  <si>
    <t xml:space="preserve">Makeup acid, MEP, floc</t>
  </si>
  <si>
    <t xml:space="preserve">Depreciation years</t>
  </si>
  <si>
    <t xml:space="preserve">y</t>
  </si>
  <si>
    <t xml:space="preserve">Straight line, no residual</t>
  </si>
  <si>
    <t xml:space="preserve">Tax rate</t>
  </si>
  <si>
    <t xml:space="preserve">US federal only; no state</t>
  </si>
  <si>
    <t xml:space="preserve">Working capital</t>
  </si>
  <si>
    <t xml:space="preserve">frac annual opex</t>
  </si>
  <si>
    <t xml:space="preserve">Liquor, parts, payroll</t>
  </si>
  <si>
    <t xml:space="preserve">Contingency on capex</t>
  </si>
  <si>
    <t xml:space="preserve">First module</t>
  </si>
  <si>
    <t xml:space="preserve">Product prices (USD per kg unless noted)</t>
  </si>
  <si>
    <t xml:space="preserve">Product</t>
  </si>
  <si>
    <t xml:space="preserve">Price</t>
  </si>
  <si>
    <t xml:space="preserve">Au</t>
  </si>
  <si>
    <t xml:space="preserve">USD/kg</t>
  </si>
  <si>
    <t xml:space="preserve">Spot $4,284/oz × 0.95 recovery to saleable</t>
  </si>
  <si>
    <t xml:space="preserve">Ag</t>
  </si>
  <si>
    <t xml:space="preserve">Spot $64.31/oz × 0.95</t>
  </si>
  <si>
    <t xml:space="preserve">Pd</t>
  </si>
  <si>
    <t xml:space="preserve">Spot ~$1,251/oz × 0.95</t>
  </si>
  <si>
    <t xml:space="preserve">Cu</t>
  </si>
  <si>
    <t xml:space="preserve">LME ~$6.73/lb × 0.95 cathode</t>
  </si>
  <si>
    <t xml:space="preserve">Ni</t>
  </si>
  <si>
    <t xml:space="preserve">LME ~$7.42/lb × 0.90</t>
  </si>
  <si>
    <t xml:space="preserve">Sn</t>
  </si>
  <si>
    <t xml:space="preserve">LME ~$24.50/lb × 0.90</t>
  </si>
  <si>
    <t xml:space="preserve">Zn</t>
  </si>
  <si>
    <t xml:space="preserve">LME ~$1.77/lb × 0.90</t>
  </si>
  <si>
    <t xml:space="preserve">Pb</t>
  </si>
  <si>
    <t xml:space="preserve">LME ~$0.88/lb × 0.90</t>
  </si>
  <si>
    <t xml:space="preserve">Fe</t>
  </si>
  <si>
    <t xml:space="preserve">Shred-equivalent powder</t>
  </si>
  <si>
    <t xml:space="preserve">Al cake</t>
  </si>
  <si>
    <t xml:space="preserve">Hydroxide to refiner / farm</t>
  </si>
  <si>
    <t xml:space="preserve">Oil cuts</t>
  </si>
  <si>
    <t xml:space="preserve">Dirty pyro oil, not diesel</t>
  </si>
  <si>
    <t xml:space="preserve">Silicate</t>
  </si>
  <si>
    <t xml:space="preserve">Na-silicate liquor</t>
  </si>
  <si>
    <t xml:space="preserve">Grit</t>
  </si>
  <si>
    <t xml:space="preserve">Aggregate / media</t>
  </si>
  <si>
    <t xml:space="preserve">Feedstock cash (positive = you pay, negative = gate fee received)</t>
  </si>
  <si>
    <t xml:space="preserve">Feedstock</t>
  </si>
  <si>
    <t xml:space="preserve">USD/wet t</t>
  </si>
  <si>
    <t xml:space="preserve">Mixed WEEE</t>
  </si>
  <si>
    <t xml:space="preserve">USD/t</t>
  </si>
  <si>
    <t xml:space="preserve">You buy a mixed stream</t>
  </si>
  <si>
    <t xml:space="preserve">PCB-rich</t>
  </si>
  <si>
    <t xml:space="preserve">Boards command a price</t>
  </si>
  <si>
    <t xml:space="preserve">MSW</t>
  </si>
  <si>
    <t xml:space="preserve">Tipping fee to you</t>
  </si>
  <si>
    <t xml:space="preserve">Landfill bulk</t>
  </si>
  <si>
    <t xml:space="preserve">Excavate + haul</t>
  </si>
  <si>
    <t xml:space="preserve">Landfill TBM / WEEE cell</t>
  </si>
  <si>
    <t xml:space="preserve">Selective mining cost</t>
  </si>
  <si>
    <t xml:space="preserve">Cu tailings 0.3%</t>
  </si>
  <si>
    <t xml:space="preserve">Rehandle on site</t>
  </si>
  <si>
    <t xml:space="preserve">Au tailings</t>
  </si>
  <si>
    <t xml:space="preserve">Module energy intensity (kWh per wet tonne, includes 9 kW aux at 150 kg/d)</t>
  </si>
  <si>
    <t xml:space="preserve">kWh/wet t</t>
  </si>
  <si>
    <t xml:space="preserve">kWh/t</t>
  </si>
  <si>
    <t xml:space="preserve">Computed throughput</t>
  </si>
  <si>
    <t xml:space="preserve">Wet tonnes / year</t>
  </si>
  <si>
    <t xml:space="preserve">t/y</t>
  </si>
  <si>
    <t xml:space="preserve">PV kWh / year</t>
  </si>
  <si>
    <t xml:space="preserve">Installed capex — one module</t>
  </si>
  <si>
    <t xml:space="preserve">Line</t>
  </si>
  <si>
    <t xml:space="preserve">USD</t>
  </si>
  <si>
    <t xml:space="preserve">Class</t>
  </si>
  <si>
    <t xml:space="preserve">40HC + 20HC shells, doors, bund, twist-locks</t>
  </si>
  <si>
    <t xml:space="preserve">civil</t>
  </si>
  <si>
    <t xml:space="preserve">Painted, new or A-grade used</t>
  </si>
  <si>
    <t xml:space="preserve">Pad, berm, trench drains, grounding</t>
  </si>
  <si>
    <t xml:space="preserve">12.2 × 6 m plus yard</t>
  </si>
  <si>
    <t xml:space="preserve">Hopper, shredder, conveyors</t>
  </si>
  <si>
    <t xml:space="preserve">mech</t>
  </si>
  <si>
    <t xml:space="preserve">Leach CSTRs, VDF, vibratory, pumps</t>
  </si>
  <si>
    <t xml:space="preserve">wet</t>
  </si>
  <si>
    <t xml:space="preserve">CPVC/PVDF vessels</t>
  </si>
  <si>
    <t xml:space="preserve">EW aisle 9 cells + polish rack</t>
  </si>
  <si>
    <t xml:space="preserve">Membranes first fill included</t>
  </si>
  <si>
    <t xml:space="preserve">BMED stack + CRU + totes</t>
  </si>
  <si>
    <t xml:space="preserve">Oil line: dryer, induction pyro, quench, still</t>
  </si>
  <si>
    <t xml:space="preserve">thermal</t>
  </si>
  <si>
    <t xml:space="preserve">Ti shell + iron auger</t>
  </si>
  <si>
    <t xml:space="preserve">Afterburner, burnout rotary, mill, digest</t>
  </si>
  <si>
    <t xml:space="preserve">Scrubbers, baghouse, ducts, stacks</t>
  </si>
  <si>
    <t xml:space="preserve">air</t>
  </si>
  <si>
    <t xml:space="preserve">Plant Cl2 + battery Br2</t>
  </si>
  <si>
    <t xml:space="preserve">Rectifiers, MCC, ATS, plant main</t>
  </si>
  <si>
    <t xml:space="preserve">elec</t>
  </si>
  <si>
    <t xml:space="preserve">Sol-Ark 60K-3P-480V</t>
  </si>
  <si>
    <t xml:space="preserve">power</t>
  </si>
  <si>
    <t xml:space="preserve">Inverter only</t>
  </si>
  <si>
    <t xml:space="preserve">PV 70 kW ground mount + rack + DC</t>
  </si>
  <si>
    <t xml:space="preserve">~1.20 USD/W-STC installed</t>
  </si>
  <si>
    <t xml:space="preserve">ZnBr2 stack + tanks + BMS gateway</t>
  </si>
  <si>
    <t xml:space="preserve">120 kWh / 60 kW custom</t>
  </si>
  <si>
    <t xml:space="preserve">Instruments, PLC, hoods</t>
  </si>
  <si>
    <t xml:space="preserve">First-fill liquor and complexer</t>
  </si>
  <si>
    <t xml:space="preserve">wc</t>
  </si>
  <si>
    <t xml:space="preserve">Salria + ZnBr2 + NaOH</t>
  </si>
  <si>
    <t xml:space="preserve">Engineering / drawings / permitting</t>
  </si>
  <si>
    <t xml:space="preserve">soft</t>
  </si>
  <si>
    <t xml:space="preserve">First article</t>
  </si>
  <si>
    <t xml:space="preserve">Subtotal installed</t>
  </si>
  <si>
    <t xml:space="preserve">Contingency</t>
  </si>
  <si>
    <t xml:space="preserve">Total capex</t>
  </si>
  <si>
    <t xml:space="preserve">Capital employed</t>
  </si>
  <si>
    <t xml:space="preserve">Annual cash opex (fixed + energy that does not depend on feedstock grade)</t>
  </si>
  <si>
    <t xml:space="preserve">Labor</t>
  </si>
  <si>
    <t xml:space="preserve">FTE × loaded</t>
  </si>
  <si>
    <t xml:space="preserve">3% of total capex</t>
  </si>
  <si>
    <t xml:space="preserve">Insurance + pad lease</t>
  </si>
  <si>
    <t xml:space="preserve">1.5% of total capex</t>
  </si>
  <si>
    <t xml:space="preserve">Membranes</t>
  </si>
  <si>
    <t xml:space="preserve">Input</t>
  </si>
  <si>
    <t xml:space="preserve">Chemicals</t>
  </si>
  <si>
    <t xml:space="preserve">Fixed cash opex</t>
  </si>
  <si>
    <t xml:space="preserve">Energy is computed per feedstock on the P&amp;L sheet (kWh/t × t/y − PV).</t>
  </si>
  <si>
    <t xml:space="preserve">PV kWh/y</t>
  </si>
  <si>
    <t xml:space="preserve">Fixed cash used by working-capital formula</t>
  </si>
  <si>
    <t xml:space="preserve">Saleable kg per wet tonne of feed</t>
  </si>
  <si>
    <t xml:space="preserve">From ELECTRICAL.md working assays. Yellow = editable. Totals on P&amp;L use these × tonnes/year.</t>
  </si>
  <si>
    <t xml:space="preserve">Au_g</t>
  </si>
  <si>
    <t xml:space="preserve">Ag_g</t>
  </si>
  <si>
    <t xml:space="preserve">Pd_g</t>
  </si>
  <si>
    <t xml:space="preserve">Cu_kg</t>
  </si>
  <si>
    <t xml:space="preserve">Ni_kg</t>
  </si>
  <si>
    <t xml:space="preserve">Sn_kg</t>
  </si>
  <si>
    <t xml:space="preserve">Zn_kg</t>
  </si>
  <si>
    <t xml:space="preserve">Pb_kg</t>
  </si>
  <si>
    <t xml:space="preserve">Fe_kg</t>
  </si>
  <si>
    <t xml:space="preserve">Alcake_kg</t>
  </si>
  <si>
    <t xml:space="preserve">Oil_kg</t>
  </si>
  <si>
    <t xml:space="preserve">Silicate_kg</t>
  </si>
  <si>
    <t xml:space="preserve">Grit_kg</t>
  </si>
  <si>
    <t xml:space="preserve">Au_g / Ag_g / Pd_g are grams per wet tonne. Multiply by price/1000 on the P&amp;L.</t>
  </si>
  <si>
    <t xml:space="preserve">Annual P&amp;L by feedstock — 150 kg/day module</t>
  </si>
  <si>
    <t xml:space="preserve">Green cells pull Assumptions / Yields / Capex / Opex. Change yellow inputs, this sheet follows.</t>
  </si>
  <si>
    <t xml:space="preserve">LF bulk</t>
  </si>
  <si>
    <t xml:space="preserve">LF TBM</t>
  </si>
  <si>
    <t xml:space="preserve">Cu tailings</t>
  </si>
  <si>
    <t xml:space="preserve">Revenue</t>
  </si>
  <si>
    <t xml:space="preserve">Product revenue</t>
  </si>
  <si>
    <t xml:space="preserve">Gate fee / feedstock purchase</t>
  </si>
  <si>
    <t xml:space="preserve">Total revenue</t>
  </si>
  <si>
    <t xml:space="preserve">Cash costs</t>
  </si>
  <si>
    <t xml:space="preserve">Energy imported</t>
  </si>
  <si>
    <t xml:space="preserve">Total cash opex</t>
  </si>
  <si>
    <t xml:space="preserve">EBITDA</t>
  </si>
  <si>
    <t xml:space="preserve">Depreciation</t>
  </si>
  <si>
    <t xml:space="preserve">EBIT</t>
  </si>
  <si>
    <t xml:space="preserve">Tax on positive EBIT</t>
  </si>
  <si>
    <t xml:space="preserve">Net income</t>
  </si>
  <si>
    <t xml:space="preserve">Cash from operations (NI + dep)</t>
  </si>
  <si>
    <t xml:space="preserve">Simple payback years</t>
  </si>
  <si>
    <t xml:space="preserve">EBIT margin</t>
  </si>
  <si>
    <t xml:space="preserve">Revenue / t feed</t>
  </si>
  <si>
    <t xml:space="preserve">Cash opex / t feed</t>
  </si>
  <si>
    <t xml:space="preserve">n.m. = not meaningful (operations do not generate cash). Gate fee on MSW is revenue (negative feedstock price). Gold in mixed WEEE and PCB-rich is most of product revenue; iron is most of the mass and almost none of the money.</t>
  </si>
  <si>
    <t xml:space="preserve">Capital and break-even</t>
  </si>
  <si>
    <t xml:space="preserve">Annual depreciation</t>
  </si>
  <si>
    <t xml:space="preserve">PV generation</t>
  </si>
  <si>
    <t xml:space="preserve">kWh/y</t>
  </si>
  <si>
    <t xml:space="preserve">What the model is saying</t>
  </si>
  <si>
    <t xml:space="preserve">A first module at ~$1.0–1.3M installed is a precious-metal machine that also happens to eat the rest of the shred. Mixed WEEE and PCB-rich clear labor and aux because Au/Ag/Cu pay. Everything else is a utilization problem: the 9 kW of fans and 1.5 FTE do not care that the tonne was dirt. Scale fixes that — 500 kg/day cuts aux-per-tonne by ~3× and still uses one inverter class if you add a second wet box. Do not bid landfill-mining or tailings as the sole feedstock for this envelope. Use them as swing feed on days the WEEE truck is late.</t>
  </si>
  <si>
    <t xml:space="preserve">Prices dated 25–26 Sep 2026 (LME/COMEX/spot). Electrolyte and membrane life are guesses until the first stack has a year on 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</si>
</sst>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$#,##0;&quot;($&quot;#,##0\);\-"/>
    <numFmt numFmtId="167" formatCode="\$#,##0.00;&quot;($&quot;#,##0.00\);\-"/>
    <numFmt numFmtId="168" formatCode="#,##0;\(#,##0\);\-"/>
    <numFmt numFmtId="169" formatCode="#,##0.0;\(#,##0.0\);\-"/>
    <numFmt numFmtId="170" formatCode="#,##0.00;\(#,##0.00\);\-"/>
    <numFmt numFmtId="171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917"/>
      <name val="Arial"/>
      <family val="0"/>
      <charset val="1"/>
    </font>
    <font>
      <i val="true"/>
      <sz val="9"/>
      <color rgb="FF57534E"/>
      <name val="Arial"/>
      <family val="0"/>
      <charset val="1"/>
    </font>
    <font>
      <b val="true"/>
      <sz val="12"/>
      <color rgb="FF1C1917"/>
      <name val="Arial"/>
      <family val="0"/>
      <charset val="1"/>
    </font>
    <font>
      <b val="true"/>
      <sz val="10"/>
      <color rgb="FF44403C"/>
      <name val="Arial"/>
      <family val="0"/>
      <charset val="1"/>
    </font>
    <font>
      <sz val="10"/>
      <color rgb="FF1C19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000000"/>
      </patternFill>
    </fill>
    <fill>
      <patternFill patternType="solid">
        <fgColor rgb="FFFEF08A"/>
        <bgColor rgb="FFFFCC99"/>
      </patternFill>
    </fill>
    <fill>
      <patternFill patternType="solid">
        <fgColor rgb="FFCCFBF1"/>
        <bgColor rgb="FFCCFFFF"/>
      </patternFill>
    </fill>
    <fill>
      <patternFill patternType="solid">
        <fgColor rgb="FFE7E5E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7E5E4"/>
      <rgbColor rgb="FFCCFBF1"/>
      <rgbColor rgb="FF660066"/>
      <rgbColor rgb="FFFF8080"/>
      <rgbColor rgb="FF0066CC"/>
      <rgbColor rgb="FFD6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0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1C1917"/>
      <rgbColor rgb="FF993300"/>
      <rgbColor rgb="FF993366"/>
      <rgbColor rgb="FF57534E"/>
      <rgbColor rgb="FF4440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EBITDA by feedstock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'P&amp;L'!$B$4:$H$4</c:f>
              <c:strCache>
                <c:ptCount val="7"/>
                <c:pt idx="0">
                  <c:v>Mixed WEEE</c:v>
                </c:pt>
                <c:pt idx="1">
                  <c:v>PCB-rich</c:v>
                </c:pt>
                <c:pt idx="2">
                  <c:v>MSW</c:v>
                </c:pt>
                <c:pt idx="3">
                  <c:v>LF bulk</c:v>
                </c:pt>
                <c:pt idx="4">
                  <c:v>LF TBM</c:v>
                </c:pt>
                <c:pt idx="5">
                  <c:v>Cu tailings</c:v>
                </c:pt>
                <c:pt idx="6">
                  <c:v>Au tailings</c:v>
                </c:pt>
              </c:strCache>
            </c:strRef>
          </c:cat>
          <c:val>
            <c:numRef>
              <c:f>'P&amp;L'!$B$29:$H$29</c:f>
              <c:numCache>
                <c:formatCode>\$#,##0;"($"#,##0\);\-</c:formatCode>
                <c:ptCount val="7"/>
                <c:pt idx="0">
                  <c:v>115704.54</c:v>
                </c:pt>
                <c:pt idx="1">
                  <c:v>693335.775</c:v>
                </c:pt>
                <c:pt idx="2">
                  <c:v>-191773.815</c:v>
                </c:pt>
                <c:pt idx="3">
                  <c:v>-195775.4535</c:v>
                </c:pt>
                <c:pt idx="4">
                  <c:v>-67845.498</c:v>
                </c:pt>
                <c:pt idx="5">
                  <c:v>-195309.970125</c:v>
                </c:pt>
                <c:pt idx="6">
                  <c:v>-195435.20445</c:v>
                </c:pt>
              </c:numCache>
            </c:numRef>
          </c:val>
        </c:ser>
        <c:gapWidth val="150"/>
        <c:overlap val="0"/>
        <c:axId val="99740867"/>
        <c:axId val="73478078"/>
      </c:barChart>
      <c:catAx>
        <c:axId val="997408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8078"/>
        <c:crosses val="autoZero"/>
        <c:auto val="1"/>
        <c:lblAlgn val="ctr"/>
        <c:lblOffset val="100"/>
        <c:noMultiLvlLbl val="0"/>
      </c:catAx>
      <c:valAx>
        <c:axId val="73478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408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42</xdr:row>
      <xdr:rowOff>130680</xdr:rowOff>
    </xdr:from>
    <xdr:to>
      <xdr:col>4</xdr:col>
      <xdr:colOff>840960</xdr:colOff>
      <xdr:row>57</xdr:row>
      <xdr:rowOff>153000</xdr:rowOff>
    </xdr:to>
    <xdr:graphicFrame>
      <xdr:nvGraphicFramePr>
        <xdr:cNvPr id="0" name="Chart 1"/>
        <xdr:cNvGraphicFramePr/>
      </xdr:nvGraphicFramePr>
      <xdr:xfrm>
        <a:off x="0" y="8191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2" customFormat="false" ht="15" hidden="false" customHeight="false" outlineLevel="0" collapsed="false">
      <c r="A12" s="3" t="s">
        <v>15</v>
      </c>
    </row>
    <row r="13" customFormat="false" ht="72" hidden="false" customHeight="true" outlineLevel="0" collapsed="false">
      <c r="A13" s="6" t="s">
        <v>16</v>
      </c>
      <c r="B13" s="6"/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6"/>
      <c r="B15" s="6"/>
    </row>
    <row r="16" customFormat="false" ht="15" hidden="false" customHeight="false" outlineLevel="0" collapsed="false">
      <c r="A16" s="6"/>
      <c r="B16" s="6"/>
    </row>
    <row r="18" customFormat="false" ht="15" hidden="false" customHeight="false" outlineLevel="0" collapsed="false">
      <c r="A18" s="3" t="s">
        <v>17</v>
      </c>
    </row>
    <row r="19" customFormat="false" ht="55.5" hidden="false" customHeight="true" outlineLevel="0" collapsed="false">
      <c r="A19" s="7" t="s">
        <v>18</v>
      </c>
      <c r="B19" s="7"/>
    </row>
    <row r="20" customFormat="false" ht="15" hidden="false" customHeight="false" outlineLevel="0" collapsed="false">
      <c r="A20" s="7"/>
      <c r="B20" s="7"/>
    </row>
    <row r="21" customFormat="false" ht="15" hidden="false" customHeight="false" outlineLevel="0" collapsed="false">
      <c r="A21" s="7"/>
      <c r="B21" s="7"/>
    </row>
  </sheetData>
  <mergeCells count="4">
    <mergeCell ref="A1:B1"/>
    <mergeCell ref="A2:B2"/>
    <mergeCell ref="A13:B16"/>
    <mergeCell ref="A19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</row>
    <row r="3" customFormat="false" ht="15" hidden="false" customHeight="false" outlineLevel="0" collapsed="false">
      <c r="A3" s="8" t="s">
        <v>20</v>
      </c>
      <c r="B3" s="8" t="s">
        <v>21</v>
      </c>
      <c r="C3" s="8" t="s">
        <v>22</v>
      </c>
      <c r="D3" s="8" t="s">
        <v>23</v>
      </c>
    </row>
    <row r="4" customFormat="false" ht="15" hidden="false" customHeight="false" outlineLevel="0" collapsed="false">
      <c r="A4" s="5" t="s">
        <v>24</v>
      </c>
      <c r="B4" s="9" t="n">
        <v>150</v>
      </c>
      <c r="C4" s="10" t="s">
        <v>25</v>
      </c>
      <c r="D4" s="10" t="s">
        <v>26</v>
      </c>
    </row>
    <row r="5" customFormat="false" ht="15" hidden="false" customHeight="false" outlineLevel="0" collapsed="false">
      <c r="A5" s="5" t="s">
        <v>27</v>
      </c>
      <c r="B5" s="9" t="n">
        <v>300</v>
      </c>
      <c r="C5" s="10" t="s">
        <v>28</v>
      </c>
      <c r="D5" s="10" t="s">
        <v>29</v>
      </c>
    </row>
    <row r="6" customFormat="false" ht="15" hidden="false" customHeight="false" outlineLevel="0" collapsed="false">
      <c r="A6" s="5" t="s">
        <v>30</v>
      </c>
      <c r="B6" s="11" t="n">
        <v>0.85</v>
      </c>
      <c r="C6" s="10" t="s">
        <v>31</v>
      </c>
      <c r="D6" s="10" t="s">
        <v>32</v>
      </c>
    </row>
    <row r="7" customFormat="false" ht="15" hidden="false" customHeight="false" outlineLevel="0" collapsed="false">
      <c r="A7" s="5" t="s">
        <v>33</v>
      </c>
      <c r="B7" s="9" t="n">
        <v>1.5</v>
      </c>
      <c r="C7" s="10" t="s">
        <v>34</v>
      </c>
      <c r="D7" s="10" t="s">
        <v>35</v>
      </c>
    </row>
    <row r="8" customFormat="false" ht="15" hidden="false" customHeight="false" outlineLevel="0" collapsed="false">
      <c r="A8" s="5" t="s">
        <v>36</v>
      </c>
      <c r="B8" s="12" t="n">
        <v>80000</v>
      </c>
      <c r="C8" s="10" t="s">
        <v>37</v>
      </c>
      <c r="D8" s="10" t="s">
        <v>38</v>
      </c>
    </row>
    <row r="9" customFormat="false" ht="15" hidden="false" customHeight="false" outlineLevel="0" collapsed="false">
      <c r="A9" s="5" t="s">
        <v>39</v>
      </c>
      <c r="B9" s="13" t="n">
        <v>0.1</v>
      </c>
      <c r="C9" s="10" t="s">
        <v>40</v>
      </c>
      <c r="D9" s="10" t="s">
        <v>41</v>
      </c>
    </row>
    <row r="10" customFormat="false" ht="15" hidden="false" customHeight="false" outlineLevel="0" collapsed="false">
      <c r="A10" s="5" t="s">
        <v>42</v>
      </c>
      <c r="B10" s="13" t="n">
        <v>0.04</v>
      </c>
      <c r="C10" s="10" t="s">
        <v>40</v>
      </c>
      <c r="D10" s="10" t="s">
        <v>43</v>
      </c>
    </row>
    <row r="11" customFormat="false" ht="15" hidden="false" customHeight="false" outlineLevel="0" collapsed="false">
      <c r="A11" s="5" t="s">
        <v>44</v>
      </c>
      <c r="B11" s="9" t="n">
        <v>70</v>
      </c>
      <c r="C11" s="10" t="s">
        <v>45</v>
      </c>
      <c r="D11" s="10" t="s">
        <v>46</v>
      </c>
    </row>
    <row r="12" customFormat="false" ht="15" hidden="false" customHeight="false" outlineLevel="0" collapsed="false">
      <c r="A12" s="5" t="s">
        <v>47</v>
      </c>
      <c r="B12" s="9" t="n">
        <v>1500</v>
      </c>
      <c r="C12" s="10" t="s">
        <v>48</v>
      </c>
      <c r="D12" s="10" t="s">
        <v>49</v>
      </c>
    </row>
    <row r="13" customFormat="false" ht="15" hidden="false" customHeight="false" outlineLevel="0" collapsed="false">
      <c r="A13" s="5" t="s">
        <v>50</v>
      </c>
      <c r="B13" s="11" t="n">
        <v>0.03</v>
      </c>
      <c r="C13" s="10" t="s">
        <v>51</v>
      </c>
      <c r="D13" s="10" t="s">
        <v>52</v>
      </c>
    </row>
    <row r="14" customFormat="false" ht="15" hidden="false" customHeight="false" outlineLevel="0" collapsed="false">
      <c r="A14" s="5" t="s">
        <v>53</v>
      </c>
      <c r="B14" s="11" t="n">
        <v>0.015</v>
      </c>
      <c r="C14" s="10" t="s">
        <v>51</v>
      </c>
      <c r="D14" s="10" t="s">
        <v>54</v>
      </c>
    </row>
    <row r="15" customFormat="false" ht="15" hidden="false" customHeight="false" outlineLevel="0" collapsed="false">
      <c r="A15" s="5" t="s">
        <v>55</v>
      </c>
      <c r="B15" s="12" t="n">
        <v>18000</v>
      </c>
      <c r="C15" s="10" t="s">
        <v>56</v>
      </c>
      <c r="D15" s="10" t="s">
        <v>57</v>
      </c>
    </row>
    <row r="16" customFormat="false" ht="15" hidden="false" customHeight="false" outlineLevel="0" collapsed="false">
      <c r="A16" s="5" t="s">
        <v>58</v>
      </c>
      <c r="B16" s="12" t="n">
        <v>12000</v>
      </c>
      <c r="C16" s="10" t="s">
        <v>56</v>
      </c>
      <c r="D16" s="10" t="s">
        <v>59</v>
      </c>
    </row>
    <row r="17" customFormat="false" ht="15" hidden="false" customHeight="false" outlineLevel="0" collapsed="false">
      <c r="A17" s="5" t="s">
        <v>60</v>
      </c>
      <c r="B17" s="9" t="n">
        <v>10</v>
      </c>
      <c r="C17" s="10" t="s">
        <v>61</v>
      </c>
      <c r="D17" s="10" t="s">
        <v>62</v>
      </c>
    </row>
    <row r="18" customFormat="false" ht="15" hidden="false" customHeight="false" outlineLevel="0" collapsed="false">
      <c r="A18" s="5" t="s">
        <v>63</v>
      </c>
      <c r="B18" s="11" t="n">
        <v>0.21</v>
      </c>
      <c r="C18" s="10" t="s">
        <v>31</v>
      </c>
      <c r="D18" s="10" t="s">
        <v>64</v>
      </c>
    </row>
    <row r="19" customFormat="false" ht="15" hidden="false" customHeight="false" outlineLevel="0" collapsed="false">
      <c r="A19" s="5" t="s">
        <v>65</v>
      </c>
      <c r="B19" s="11" t="n">
        <v>0.08</v>
      </c>
      <c r="C19" s="10" t="s">
        <v>66</v>
      </c>
      <c r="D19" s="10" t="s">
        <v>67</v>
      </c>
    </row>
    <row r="20" customFormat="false" ht="15" hidden="false" customHeight="false" outlineLevel="0" collapsed="false">
      <c r="A20" s="5" t="s">
        <v>68</v>
      </c>
      <c r="B20" s="11" t="n">
        <v>0.2</v>
      </c>
      <c r="C20" s="10" t="s">
        <v>31</v>
      </c>
      <c r="D20" s="10" t="s">
        <v>69</v>
      </c>
    </row>
    <row r="22" customFormat="false" ht="15" hidden="false" customHeight="false" outlineLevel="0" collapsed="false">
      <c r="A22" s="14" t="s">
        <v>70</v>
      </c>
      <c r="B22" s="14"/>
      <c r="C22" s="14"/>
      <c r="D22" s="14"/>
    </row>
    <row r="23" customFormat="false" ht="15" hidden="false" customHeight="false" outlineLevel="0" collapsed="false">
      <c r="A23" s="8" t="s">
        <v>71</v>
      </c>
      <c r="B23" s="8" t="s">
        <v>72</v>
      </c>
      <c r="C23" s="8" t="s">
        <v>22</v>
      </c>
      <c r="D23" s="8" t="s">
        <v>23</v>
      </c>
    </row>
    <row r="24" customFormat="false" ht="15" hidden="false" customHeight="false" outlineLevel="0" collapsed="false">
      <c r="A24" s="5" t="s">
        <v>73</v>
      </c>
      <c r="B24" s="12" t="n">
        <v>137700</v>
      </c>
      <c r="C24" s="10" t="s">
        <v>74</v>
      </c>
      <c r="D24" s="10" t="s">
        <v>75</v>
      </c>
    </row>
    <row r="25" customFormat="false" ht="15" hidden="false" customHeight="false" outlineLevel="0" collapsed="false">
      <c r="A25" s="5" t="s">
        <v>76</v>
      </c>
      <c r="B25" s="12" t="n">
        <v>2068</v>
      </c>
      <c r="C25" s="10" t="s">
        <v>74</v>
      </c>
      <c r="D25" s="10" t="s">
        <v>77</v>
      </c>
    </row>
    <row r="26" customFormat="false" ht="15" hidden="false" customHeight="false" outlineLevel="0" collapsed="false">
      <c r="A26" s="5" t="s">
        <v>78</v>
      </c>
      <c r="B26" s="12" t="n">
        <v>38200</v>
      </c>
      <c r="C26" s="10" t="s">
        <v>74</v>
      </c>
      <c r="D26" s="10" t="s">
        <v>79</v>
      </c>
    </row>
    <row r="27" customFormat="false" ht="15" hidden="false" customHeight="false" outlineLevel="0" collapsed="false">
      <c r="A27" s="5" t="s">
        <v>80</v>
      </c>
      <c r="B27" s="13" t="n">
        <v>14.1</v>
      </c>
      <c r="C27" s="10" t="s">
        <v>74</v>
      </c>
      <c r="D27" s="10" t="s">
        <v>81</v>
      </c>
    </row>
    <row r="28" customFormat="false" ht="15" hidden="false" customHeight="false" outlineLevel="0" collapsed="false">
      <c r="A28" s="5" t="s">
        <v>82</v>
      </c>
      <c r="B28" s="13" t="n">
        <v>14.7</v>
      </c>
      <c r="C28" s="10" t="s">
        <v>74</v>
      </c>
      <c r="D28" s="10" t="s">
        <v>83</v>
      </c>
    </row>
    <row r="29" customFormat="false" ht="15" hidden="false" customHeight="false" outlineLevel="0" collapsed="false">
      <c r="A29" s="5" t="s">
        <v>84</v>
      </c>
      <c r="B29" s="13" t="n">
        <v>48.6</v>
      </c>
      <c r="C29" s="10" t="s">
        <v>74</v>
      </c>
      <c r="D29" s="10" t="s">
        <v>85</v>
      </c>
    </row>
    <row r="30" customFormat="false" ht="15" hidden="false" customHeight="false" outlineLevel="0" collapsed="false">
      <c r="A30" s="5" t="s">
        <v>86</v>
      </c>
      <c r="B30" s="13" t="n">
        <v>3.51</v>
      </c>
      <c r="C30" s="10" t="s">
        <v>74</v>
      </c>
      <c r="D30" s="10" t="s">
        <v>87</v>
      </c>
    </row>
    <row r="31" customFormat="false" ht="15" hidden="false" customHeight="false" outlineLevel="0" collapsed="false">
      <c r="A31" s="5" t="s">
        <v>88</v>
      </c>
      <c r="B31" s="13" t="n">
        <v>1.75</v>
      </c>
      <c r="C31" s="10" t="s">
        <v>74</v>
      </c>
      <c r="D31" s="10" t="s">
        <v>89</v>
      </c>
    </row>
    <row r="32" customFormat="false" ht="15" hidden="false" customHeight="false" outlineLevel="0" collapsed="false">
      <c r="A32" s="5" t="s">
        <v>90</v>
      </c>
      <c r="B32" s="13" t="n">
        <v>0.4</v>
      </c>
      <c r="C32" s="10" t="s">
        <v>74</v>
      </c>
      <c r="D32" s="10" t="s">
        <v>91</v>
      </c>
    </row>
    <row r="33" customFormat="false" ht="15" hidden="false" customHeight="false" outlineLevel="0" collapsed="false">
      <c r="A33" s="5" t="s">
        <v>92</v>
      </c>
      <c r="B33" s="13" t="n">
        <v>0.35</v>
      </c>
      <c r="C33" s="10" t="s">
        <v>74</v>
      </c>
      <c r="D33" s="10" t="s">
        <v>93</v>
      </c>
    </row>
    <row r="34" customFormat="false" ht="15" hidden="false" customHeight="false" outlineLevel="0" collapsed="false">
      <c r="A34" s="5" t="s">
        <v>94</v>
      </c>
      <c r="B34" s="13" t="n">
        <v>0.45</v>
      </c>
      <c r="C34" s="10" t="s">
        <v>74</v>
      </c>
      <c r="D34" s="10" t="s">
        <v>95</v>
      </c>
    </row>
    <row r="35" customFormat="false" ht="15" hidden="false" customHeight="false" outlineLevel="0" collapsed="false">
      <c r="A35" s="5" t="s">
        <v>96</v>
      </c>
      <c r="B35" s="13" t="n">
        <v>0.12</v>
      </c>
      <c r="C35" s="10" t="s">
        <v>74</v>
      </c>
      <c r="D35" s="10" t="s">
        <v>97</v>
      </c>
    </row>
    <row r="36" customFormat="false" ht="15" hidden="false" customHeight="false" outlineLevel="0" collapsed="false">
      <c r="A36" s="5" t="s">
        <v>98</v>
      </c>
      <c r="B36" s="13" t="n">
        <v>0.02</v>
      </c>
      <c r="C36" s="10" t="s">
        <v>74</v>
      </c>
      <c r="D36" s="10" t="s">
        <v>99</v>
      </c>
    </row>
    <row r="38" customFormat="false" ht="15" hidden="false" customHeight="false" outlineLevel="0" collapsed="false">
      <c r="A38" s="14" t="s">
        <v>100</v>
      </c>
      <c r="B38" s="14"/>
      <c r="C38" s="14"/>
      <c r="D38" s="14"/>
    </row>
    <row r="39" customFormat="false" ht="15" hidden="false" customHeight="false" outlineLevel="0" collapsed="false">
      <c r="A39" s="8" t="s">
        <v>101</v>
      </c>
      <c r="B39" s="8" t="s">
        <v>102</v>
      </c>
      <c r="C39" s="8" t="s">
        <v>22</v>
      </c>
      <c r="D39" s="8" t="s">
        <v>23</v>
      </c>
    </row>
    <row r="40" customFormat="false" ht="15" hidden="false" customHeight="false" outlineLevel="0" collapsed="false">
      <c r="A40" s="5" t="s">
        <v>103</v>
      </c>
      <c r="B40" s="12" t="n">
        <v>150</v>
      </c>
      <c r="C40" s="10" t="s">
        <v>104</v>
      </c>
      <c r="D40" s="10" t="s">
        <v>105</v>
      </c>
    </row>
    <row r="41" customFormat="false" ht="15" hidden="false" customHeight="false" outlineLevel="0" collapsed="false">
      <c r="A41" s="5" t="s">
        <v>106</v>
      </c>
      <c r="B41" s="12" t="n">
        <v>600</v>
      </c>
      <c r="C41" s="10" t="s">
        <v>104</v>
      </c>
      <c r="D41" s="10" t="s">
        <v>107</v>
      </c>
    </row>
    <row r="42" customFormat="false" ht="15" hidden="false" customHeight="false" outlineLevel="0" collapsed="false">
      <c r="A42" s="5" t="s">
        <v>108</v>
      </c>
      <c r="B42" s="12" t="n">
        <v>-55</v>
      </c>
      <c r="C42" s="10" t="s">
        <v>104</v>
      </c>
      <c r="D42" s="10" t="s">
        <v>109</v>
      </c>
    </row>
    <row r="43" customFormat="false" ht="15" hidden="false" customHeight="false" outlineLevel="0" collapsed="false">
      <c r="A43" s="5" t="s">
        <v>110</v>
      </c>
      <c r="B43" s="12" t="n">
        <v>30</v>
      </c>
      <c r="C43" s="10" t="s">
        <v>104</v>
      </c>
      <c r="D43" s="10" t="s">
        <v>111</v>
      </c>
    </row>
    <row r="44" customFormat="false" ht="15" hidden="false" customHeight="false" outlineLevel="0" collapsed="false">
      <c r="A44" s="5" t="s">
        <v>112</v>
      </c>
      <c r="B44" s="12" t="n">
        <v>45</v>
      </c>
      <c r="C44" s="10" t="s">
        <v>104</v>
      </c>
      <c r="D44" s="10" t="s">
        <v>113</v>
      </c>
    </row>
    <row r="45" customFormat="false" ht="15" hidden="false" customHeight="false" outlineLevel="0" collapsed="false">
      <c r="A45" s="5" t="s">
        <v>114</v>
      </c>
      <c r="B45" s="12" t="n">
        <v>8</v>
      </c>
      <c r="C45" s="10" t="s">
        <v>104</v>
      </c>
      <c r="D45" s="10" t="s">
        <v>115</v>
      </c>
    </row>
    <row r="46" customFormat="false" ht="15" hidden="false" customHeight="false" outlineLevel="0" collapsed="false">
      <c r="A46" s="5" t="s">
        <v>116</v>
      </c>
      <c r="B46" s="12" t="n">
        <v>12</v>
      </c>
      <c r="C46" s="10" t="s">
        <v>104</v>
      </c>
      <c r="D46" s="10" t="s">
        <v>115</v>
      </c>
    </row>
    <row r="48" customFormat="false" ht="15" hidden="false" customHeight="false" outlineLevel="0" collapsed="false">
      <c r="A48" s="3" t="s">
        <v>117</v>
      </c>
    </row>
    <row r="49" customFormat="false" ht="15" hidden="false" customHeight="false" outlineLevel="0" collapsed="false">
      <c r="A49" s="8" t="s">
        <v>101</v>
      </c>
      <c r="B49" s="8" t="s">
        <v>118</v>
      </c>
      <c r="C49" s="8" t="s">
        <v>22</v>
      </c>
      <c r="D49" s="8" t="s">
        <v>23</v>
      </c>
    </row>
    <row r="50" customFormat="false" ht="15" hidden="false" customHeight="false" outlineLevel="0" collapsed="false">
      <c r="A50" s="5" t="s">
        <v>103</v>
      </c>
      <c r="B50" s="15" t="n">
        <v>2960</v>
      </c>
      <c r="C50" s="10" t="s">
        <v>119</v>
      </c>
    </row>
    <row r="51" customFormat="false" ht="15" hidden="false" customHeight="false" outlineLevel="0" collapsed="false">
      <c r="A51" s="5" t="s">
        <v>106</v>
      </c>
      <c r="B51" s="15" t="n">
        <v>2625</v>
      </c>
      <c r="C51" s="10" t="s">
        <v>119</v>
      </c>
    </row>
    <row r="52" customFormat="false" ht="15" hidden="false" customHeight="false" outlineLevel="0" collapsed="false">
      <c r="A52" s="5" t="s">
        <v>108</v>
      </c>
      <c r="B52" s="15" t="n">
        <v>2120</v>
      </c>
      <c r="C52" s="10" t="s">
        <v>119</v>
      </c>
    </row>
    <row r="53" customFormat="false" ht="15" hidden="false" customHeight="false" outlineLevel="0" collapsed="false">
      <c r="A53" s="5" t="s">
        <v>110</v>
      </c>
      <c r="B53" s="15" t="n">
        <v>1870</v>
      </c>
      <c r="C53" s="10" t="s">
        <v>119</v>
      </c>
    </row>
    <row r="54" customFormat="false" ht="15" hidden="false" customHeight="false" outlineLevel="0" collapsed="false">
      <c r="A54" s="5" t="s">
        <v>112</v>
      </c>
      <c r="B54" s="15" t="n">
        <v>2440</v>
      </c>
      <c r="C54" s="10" t="s">
        <v>119</v>
      </c>
    </row>
    <row r="55" customFormat="false" ht="15" hidden="false" customHeight="false" outlineLevel="0" collapsed="false">
      <c r="A55" s="5" t="s">
        <v>114</v>
      </c>
      <c r="B55" s="15" t="n">
        <v>1810</v>
      </c>
      <c r="C55" s="10" t="s">
        <v>119</v>
      </c>
    </row>
    <row r="56" customFormat="false" ht="15" hidden="false" customHeight="false" outlineLevel="0" collapsed="false">
      <c r="A56" s="5" t="s">
        <v>116</v>
      </c>
      <c r="B56" s="15" t="n">
        <v>1755</v>
      </c>
      <c r="C56" s="10" t="s">
        <v>119</v>
      </c>
    </row>
    <row r="58" customFormat="false" ht="15" hidden="false" customHeight="false" outlineLevel="0" collapsed="false">
      <c r="A58" s="3" t="s">
        <v>120</v>
      </c>
    </row>
    <row r="59" customFormat="false" ht="15" hidden="false" customHeight="false" outlineLevel="0" collapsed="false">
      <c r="A59" s="0" t="s">
        <v>121</v>
      </c>
      <c r="B59" s="16" t="n">
        <f aca="false">B4*B5*B6/1000</f>
        <v>38.25</v>
      </c>
      <c r="C59" s="17" t="s">
        <v>122</v>
      </c>
    </row>
    <row r="60" customFormat="false" ht="15" hidden="false" customHeight="false" outlineLevel="0" collapsed="false">
      <c r="A60" s="0" t="s">
        <v>123</v>
      </c>
      <c r="B60" s="18" t="n">
        <f aca="false">B11*B12</f>
        <v>105000</v>
      </c>
    </row>
  </sheetData>
  <mergeCells count="3">
    <mergeCell ref="A1:D1"/>
    <mergeCell ref="A22:D22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9" t="s">
        <v>124</v>
      </c>
    </row>
    <row r="3" customFormat="false" ht="15" hidden="false" customHeight="false" outlineLevel="0" collapsed="false">
      <c r="A3" s="8" t="s">
        <v>125</v>
      </c>
      <c r="B3" s="8" t="s">
        <v>126</v>
      </c>
      <c r="C3" s="8" t="s">
        <v>127</v>
      </c>
      <c r="D3" s="8" t="s">
        <v>23</v>
      </c>
    </row>
    <row r="4" customFormat="false" ht="15" hidden="false" customHeight="false" outlineLevel="0" collapsed="false">
      <c r="A4" s="5" t="s">
        <v>128</v>
      </c>
      <c r="B4" s="12" t="n">
        <v>28000</v>
      </c>
      <c r="C4" s="10" t="s">
        <v>129</v>
      </c>
      <c r="D4" s="10" t="s">
        <v>130</v>
      </c>
    </row>
    <row r="5" customFormat="false" ht="15" hidden="false" customHeight="false" outlineLevel="0" collapsed="false">
      <c r="A5" s="5" t="s">
        <v>131</v>
      </c>
      <c r="B5" s="12" t="n">
        <v>45000</v>
      </c>
      <c r="C5" s="10" t="s">
        <v>129</v>
      </c>
      <c r="D5" s="10" t="s">
        <v>132</v>
      </c>
    </row>
    <row r="6" customFormat="false" ht="15" hidden="false" customHeight="false" outlineLevel="0" collapsed="false">
      <c r="A6" s="5" t="s">
        <v>133</v>
      </c>
      <c r="B6" s="12" t="n">
        <v>38000</v>
      </c>
      <c r="C6" s="10" t="s">
        <v>134</v>
      </c>
      <c r="D6" s="10"/>
    </row>
    <row r="7" customFormat="false" ht="15" hidden="false" customHeight="false" outlineLevel="0" collapsed="false">
      <c r="A7" s="5" t="s">
        <v>135</v>
      </c>
      <c r="B7" s="12" t="n">
        <v>72000</v>
      </c>
      <c r="C7" s="10" t="s">
        <v>136</v>
      </c>
      <c r="D7" s="10" t="s">
        <v>137</v>
      </c>
    </row>
    <row r="8" customFormat="false" ht="15" hidden="false" customHeight="false" outlineLevel="0" collapsed="false">
      <c r="A8" s="5" t="s">
        <v>138</v>
      </c>
      <c r="B8" s="12" t="n">
        <v>95000</v>
      </c>
      <c r="C8" s="10" t="s">
        <v>136</v>
      </c>
      <c r="D8" s="10" t="s">
        <v>139</v>
      </c>
    </row>
    <row r="9" customFormat="false" ht="15" hidden="false" customHeight="false" outlineLevel="0" collapsed="false">
      <c r="A9" s="5" t="s">
        <v>140</v>
      </c>
      <c r="B9" s="12" t="n">
        <v>85000</v>
      </c>
      <c r="C9" s="10" t="s">
        <v>136</v>
      </c>
      <c r="D9" s="10"/>
    </row>
    <row r="10" customFormat="false" ht="15" hidden="false" customHeight="false" outlineLevel="0" collapsed="false">
      <c r="A10" s="5" t="s">
        <v>141</v>
      </c>
      <c r="B10" s="12" t="n">
        <v>110000</v>
      </c>
      <c r="C10" s="10" t="s">
        <v>142</v>
      </c>
      <c r="D10" s="10" t="s">
        <v>143</v>
      </c>
    </row>
    <row r="11" customFormat="false" ht="15" hidden="false" customHeight="false" outlineLevel="0" collapsed="false">
      <c r="A11" s="5" t="s">
        <v>144</v>
      </c>
      <c r="B11" s="12" t="n">
        <v>65000</v>
      </c>
      <c r="C11" s="10" t="s">
        <v>142</v>
      </c>
      <c r="D11" s="10"/>
    </row>
    <row r="12" customFormat="false" ht="15" hidden="false" customHeight="false" outlineLevel="0" collapsed="false">
      <c r="A12" s="5" t="s">
        <v>145</v>
      </c>
      <c r="B12" s="12" t="n">
        <v>48000</v>
      </c>
      <c r="C12" s="10" t="s">
        <v>146</v>
      </c>
      <c r="D12" s="10" t="s">
        <v>147</v>
      </c>
    </row>
    <row r="13" customFormat="false" ht="15" hidden="false" customHeight="false" outlineLevel="0" collapsed="false">
      <c r="A13" s="5" t="s">
        <v>148</v>
      </c>
      <c r="B13" s="12" t="n">
        <v>42000</v>
      </c>
      <c r="C13" s="10" t="s">
        <v>149</v>
      </c>
      <c r="D13" s="10"/>
    </row>
    <row r="14" customFormat="false" ht="15" hidden="false" customHeight="false" outlineLevel="0" collapsed="false">
      <c r="A14" s="5" t="s">
        <v>150</v>
      </c>
      <c r="B14" s="12" t="n">
        <v>18000</v>
      </c>
      <c r="C14" s="10" t="s">
        <v>151</v>
      </c>
      <c r="D14" s="10" t="s">
        <v>152</v>
      </c>
    </row>
    <row r="15" customFormat="false" ht="15" hidden="false" customHeight="false" outlineLevel="0" collapsed="false">
      <c r="A15" s="5" t="s">
        <v>153</v>
      </c>
      <c r="B15" s="12" t="n">
        <v>84000</v>
      </c>
      <c r="C15" s="10" t="s">
        <v>151</v>
      </c>
      <c r="D15" s="10" t="s">
        <v>154</v>
      </c>
    </row>
    <row r="16" customFormat="false" ht="15" hidden="false" customHeight="false" outlineLevel="0" collapsed="false">
      <c r="A16" s="5" t="s">
        <v>155</v>
      </c>
      <c r="B16" s="12" t="n">
        <v>72000</v>
      </c>
      <c r="C16" s="10" t="s">
        <v>151</v>
      </c>
      <c r="D16" s="10" t="s">
        <v>156</v>
      </c>
    </row>
    <row r="17" customFormat="false" ht="15" hidden="false" customHeight="false" outlineLevel="0" collapsed="false">
      <c r="A17" s="5" t="s">
        <v>157</v>
      </c>
      <c r="B17" s="12" t="n">
        <v>35000</v>
      </c>
      <c r="C17" s="10" t="s">
        <v>149</v>
      </c>
      <c r="D17" s="10"/>
    </row>
    <row r="18" customFormat="false" ht="15" hidden="false" customHeight="false" outlineLevel="0" collapsed="false">
      <c r="A18" s="5" t="s">
        <v>158</v>
      </c>
      <c r="B18" s="12" t="n">
        <v>18000</v>
      </c>
      <c r="C18" s="10" t="s">
        <v>159</v>
      </c>
      <c r="D18" s="10" t="s">
        <v>160</v>
      </c>
    </row>
    <row r="19" customFormat="false" ht="15" hidden="false" customHeight="false" outlineLevel="0" collapsed="false">
      <c r="A19" s="5" t="s">
        <v>161</v>
      </c>
      <c r="B19" s="12" t="n">
        <v>55000</v>
      </c>
      <c r="C19" s="10" t="s">
        <v>162</v>
      </c>
      <c r="D19" s="10" t="s">
        <v>163</v>
      </c>
    </row>
    <row r="21" customFormat="false" ht="15" hidden="false" customHeight="false" outlineLevel="0" collapsed="false">
      <c r="A21" s="0" t="s">
        <v>164</v>
      </c>
      <c r="B21" s="20" t="n">
        <f aca="false">SUM(B4:B19)</f>
        <v>910000</v>
      </c>
    </row>
    <row r="22" customFormat="false" ht="15" hidden="false" customHeight="false" outlineLevel="0" collapsed="false">
      <c r="A22" s="0" t="s">
        <v>165</v>
      </c>
      <c r="B22" s="20" t="n">
        <f aca="false">B21*Assumptions!B20</f>
        <v>182000</v>
      </c>
    </row>
    <row r="23" customFormat="false" ht="15" hidden="false" customHeight="false" outlineLevel="0" collapsed="false">
      <c r="A23" s="0" t="s">
        <v>166</v>
      </c>
      <c r="B23" s="21" t="n">
        <f aca="false">B21+B22</f>
        <v>1092000</v>
      </c>
    </row>
    <row r="24" customFormat="false" ht="15" hidden="false" customHeight="false" outlineLevel="0" collapsed="false">
      <c r="A24" s="0" t="s">
        <v>65</v>
      </c>
      <c r="B24" s="22" t="n">
        <f aca="false">Assumptions!B19*Opex!B20</f>
        <v>15931.2</v>
      </c>
    </row>
    <row r="25" customFormat="false" ht="15" hidden="false" customHeight="false" outlineLevel="0" collapsed="false">
      <c r="A25" s="0" t="s">
        <v>167</v>
      </c>
      <c r="B25" s="23" t="n">
        <f aca="false">B23+B24</f>
        <v>1107931.2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9" t="s">
        <v>168</v>
      </c>
    </row>
    <row r="3" customFormat="false" ht="15" hidden="false" customHeight="false" outlineLevel="0" collapsed="false">
      <c r="A3" s="8" t="s">
        <v>125</v>
      </c>
      <c r="B3" s="8" t="s">
        <v>56</v>
      </c>
      <c r="C3" s="8" t="s">
        <v>23</v>
      </c>
    </row>
    <row r="4" customFormat="false" ht="15" hidden="false" customHeight="false" outlineLevel="0" collapsed="false">
      <c r="A4" s="5" t="s">
        <v>169</v>
      </c>
      <c r="B4" s="20" t="n">
        <f aca="false">Assumptions!B7*Assumptions!B8</f>
        <v>120000</v>
      </c>
      <c r="C4" s="10" t="s">
        <v>170</v>
      </c>
    </row>
    <row r="5" customFormat="false" ht="15" hidden="false" customHeight="false" outlineLevel="0" collapsed="false">
      <c r="A5" s="5" t="s">
        <v>50</v>
      </c>
      <c r="B5" s="20" t="n">
        <f aca="false">Assumptions!B13*Capex!B23</f>
        <v>32760</v>
      </c>
      <c r="C5" s="10" t="s">
        <v>171</v>
      </c>
    </row>
    <row r="6" customFormat="false" ht="15" hidden="false" customHeight="false" outlineLevel="0" collapsed="false">
      <c r="A6" s="5" t="s">
        <v>172</v>
      </c>
      <c r="B6" s="20" t="n">
        <f aca="false">Assumptions!B14*Capex!B23</f>
        <v>16380</v>
      </c>
      <c r="C6" s="10" t="s">
        <v>173</v>
      </c>
    </row>
    <row r="7" customFormat="false" ht="15" hidden="false" customHeight="false" outlineLevel="0" collapsed="false">
      <c r="A7" s="5" t="s">
        <v>174</v>
      </c>
      <c r="B7" s="20" t="n">
        <f aca="false">Assumptions!B15</f>
        <v>18000</v>
      </c>
      <c r="C7" s="10" t="s">
        <v>175</v>
      </c>
    </row>
    <row r="8" customFormat="false" ht="15" hidden="false" customHeight="false" outlineLevel="0" collapsed="false">
      <c r="A8" s="5" t="s">
        <v>176</v>
      </c>
      <c r="B8" s="20" t="n">
        <f aca="false">Assumptions!B16</f>
        <v>12000</v>
      </c>
      <c r="C8" s="10" t="s">
        <v>175</v>
      </c>
    </row>
    <row r="9" customFormat="false" ht="15" hidden="false" customHeight="false" outlineLevel="0" collapsed="false">
      <c r="A9" s="5" t="s">
        <v>177</v>
      </c>
      <c r="B9" s="24" t="n">
        <f aca="false">SUM(B4:B8)</f>
        <v>199140</v>
      </c>
      <c r="C9" s="10"/>
    </row>
    <row r="11" customFormat="false" ht="15" hidden="false" customHeight="false" outlineLevel="0" collapsed="false">
      <c r="A11" s="2" t="s">
        <v>178</v>
      </c>
      <c r="B11" s="2"/>
      <c r="C11" s="2"/>
    </row>
    <row r="13" customFormat="false" ht="15" hidden="false" customHeight="false" outlineLevel="0" collapsed="false">
      <c r="A13" s="0" t="s">
        <v>179</v>
      </c>
      <c r="B13" s="25" t="n">
        <f aca="false">Assumptions!B60</f>
        <v>105000</v>
      </c>
    </row>
    <row r="20" customFormat="false" ht="15" hidden="false" customHeight="false" outlineLevel="0" collapsed="false">
      <c r="A20" s="0" t="s">
        <v>180</v>
      </c>
      <c r="B20" s="20" t="n">
        <f aca="false">B9</f>
        <v>199140</v>
      </c>
    </row>
  </sheetData>
  <mergeCells count="1"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5" min="2" style="0" width="14"/>
  </cols>
  <sheetData>
    <row r="1" customFormat="false" ht="19.7" hidden="false" customHeight="fals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0" t="s">
        <v>182</v>
      </c>
    </row>
    <row r="4" customFormat="false" ht="15" hidden="false" customHeight="false" outlineLevel="0" collapsed="false">
      <c r="A4" s="8" t="s">
        <v>101</v>
      </c>
      <c r="B4" s="8" t="s">
        <v>183</v>
      </c>
      <c r="C4" s="8" t="s">
        <v>184</v>
      </c>
      <c r="D4" s="8" t="s">
        <v>185</v>
      </c>
      <c r="E4" s="8" t="s">
        <v>186</v>
      </c>
      <c r="F4" s="8" t="s">
        <v>187</v>
      </c>
      <c r="G4" s="8" t="s">
        <v>188</v>
      </c>
      <c r="H4" s="8" t="s">
        <v>189</v>
      </c>
      <c r="I4" s="8" t="s">
        <v>190</v>
      </c>
      <c r="J4" s="8" t="s">
        <v>191</v>
      </c>
      <c r="K4" s="8" t="s">
        <v>192</v>
      </c>
      <c r="L4" s="8" t="s">
        <v>193</v>
      </c>
      <c r="M4" s="8" t="s">
        <v>194</v>
      </c>
      <c r="N4" s="8" t="s">
        <v>195</v>
      </c>
    </row>
    <row r="5" customFormat="false" ht="15" hidden="false" customHeight="false" outlineLevel="0" collapsed="false">
      <c r="A5" s="5" t="s">
        <v>103</v>
      </c>
      <c r="B5" s="26" t="n">
        <v>45</v>
      </c>
      <c r="C5" s="26" t="n">
        <v>180</v>
      </c>
      <c r="D5" s="26" t="n">
        <v>8</v>
      </c>
      <c r="E5" s="26" t="n">
        <v>63</v>
      </c>
      <c r="F5" s="26" t="n">
        <v>8</v>
      </c>
      <c r="G5" s="26" t="n">
        <v>6</v>
      </c>
      <c r="H5" s="26" t="n">
        <v>8</v>
      </c>
      <c r="I5" s="26" t="n">
        <v>8</v>
      </c>
      <c r="J5" s="26" t="n">
        <v>212</v>
      </c>
      <c r="K5" s="26" t="n">
        <v>70</v>
      </c>
      <c r="L5" s="26" t="n">
        <v>150</v>
      </c>
      <c r="M5" s="26" t="n">
        <v>80</v>
      </c>
      <c r="N5" s="26" t="n">
        <v>120</v>
      </c>
    </row>
    <row r="6" customFormat="false" ht="15" hidden="false" customHeight="false" outlineLevel="0" collapsed="false">
      <c r="A6" s="5" t="s">
        <v>106</v>
      </c>
      <c r="B6" s="26" t="n">
        <v>135</v>
      </c>
      <c r="C6" s="26" t="n">
        <v>720</v>
      </c>
      <c r="D6" s="26" t="n">
        <v>40</v>
      </c>
      <c r="E6" s="26" t="n">
        <v>112</v>
      </c>
      <c r="F6" s="26" t="n">
        <v>6</v>
      </c>
      <c r="G6" s="26" t="n">
        <v>10</v>
      </c>
      <c r="H6" s="26" t="n">
        <v>4</v>
      </c>
      <c r="I6" s="26" t="n">
        <v>12</v>
      </c>
      <c r="J6" s="26" t="n">
        <v>56</v>
      </c>
      <c r="K6" s="26" t="n">
        <v>50</v>
      </c>
      <c r="L6" s="26" t="n">
        <v>170</v>
      </c>
      <c r="M6" s="26" t="n">
        <v>150</v>
      </c>
      <c r="N6" s="26" t="n">
        <v>170</v>
      </c>
    </row>
    <row r="7" customFormat="false" ht="15" hidden="false" customHeight="false" outlineLevel="0" collapsed="false">
      <c r="A7" s="5" t="s">
        <v>108</v>
      </c>
      <c r="B7" s="26" t="n">
        <v>0</v>
      </c>
      <c r="C7" s="26" t="n">
        <v>0</v>
      </c>
      <c r="D7" s="26" t="n">
        <v>0</v>
      </c>
      <c r="E7" s="26" t="n">
        <v>1.5</v>
      </c>
      <c r="F7" s="26" t="n">
        <v>0.2</v>
      </c>
      <c r="G7" s="26" t="n">
        <v>0.1</v>
      </c>
      <c r="H7" s="26" t="n">
        <v>0.5</v>
      </c>
      <c r="I7" s="26" t="n">
        <v>0.3</v>
      </c>
      <c r="J7" s="26" t="n">
        <v>30</v>
      </c>
      <c r="K7" s="26" t="n">
        <v>25</v>
      </c>
      <c r="L7" s="26" t="n">
        <v>180</v>
      </c>
      <c r="M7" s="26" t="n">
        <v>30</v>
      </c>
      <c r="N7" s="26" t="n">
        <v>50</v>
      </c>
    </row>
    <row r="8" customFormat="false" ht="15" hidden="false" customHeight="false" outlineLevel="0" collapsed="false">
      <c r="A8" s="5" t="s">
        <v>110</v>
      </c>
      <c r="B8" s="26" t="n">
        <v>0.2</v>
      </c>
      <c r="C8" s="26" t="n">
        <v>1</v>
      </c>
      <c r="D8" s="26" t="n">
        <v>0</v>
      </c>
      <c r="E8" s="26" t="n">
        <v>1</v>
      </c>
      <c r="F8" s="26" t="n">
        <v>0.1</v>
      </c>
      <c r="G8" s="26" t="n">
        <v>0.05</v>
      </c>
      <c r="H8" s="26" t="n">
        <v>0.4</v>
      </c>
      <c r="I8" s="26" t="n">
        <v>0.2</v>
      </c>
      <c r="J8" s="26" t="n">
        <v>18</v>
      </c>
      <c r="K8" s="26" t="n">
        <v>20</v>
      </c>
      <c r="L8" s="26" t="n">
        <v>80</v>
      </c>
      <c r="M8" s="26" t="n">
        <v>80</v>
      </c>
      <c r="N8" s="26" t="n">
        <v>440</v>
      </c>
    </row>
    <row r="9" customFormat="false" ht="15" hidden="false" customHeight="false" outlineLevel="0" collapsed="false">
      <c r="A9" s="5" t="s">
        <v>112</v>
      </c>
      <c r="B9" s="26" t="n">
        <v>18</v>
      </c>
      <c r="C9" s="26" t="n">
        <v>72</v>
      </c>
      <c r="D9" s="26" t="n">
        <v>3</v>
      </c>
      <c r="E9" s="26" t="n">
        <v>27</v>
      </c>
      <c r="F9" s="26" t="n">
        <v>4</v>
      </c>
      <c r="G9" s="26" t="n">
        <v>3</v>
      </c>
      <c r="H9" s="26" t="n">
        <v>4</v>
      </c>
      <c r="I9" s="26" t="n">
        <v>4</v>
      </c>
      <c r="J9" s="26" t="n">
        <v>110</v>
      </c>
      <c r="K9" s="26" t="n">
        <v>50</v>
      </c>
      <c r="L9" s="26" t="n">
        <v>120</v>
      </c>
      <c r="M9" s="26" t="n">
        <v>80</v>
      </c>
      <c r="N9" s="26" t="n">
        <v>200</v>
      </c>
    </row>
    <row r="10" customFormat="false" ht="15" hidden="false" customHeight="false" outlineLevel="0" collapsed="false">
      <c r="A10" s="5" t="s">
        <v>114</v>
      </c>
      <c r="B10" s="26" t="n">
        <v>0.08</v>
      </c>
      <c r="C10" s="26" t="n">
        <v>1.5</v>
      </c>
      <c r="D10" s="26" t="n">
        <v>0</v>
      </c>
      <c r="E10" s="26" t="n">
        <v>2.4</v>
      </c>
      <c r="F10" s="26" t="n">
        <v>0.05</v>
      </c>
      <c r="G10" s="26" t="n">
        <v>0</v>
      </c>
      <c r="H10" s="26" t="n">
        <v>0.1</v>
      </c>
      <c r="I10" s="26" t="n">
        <v>0.05</v>
      </c>
      <c r="J10" s="26" t="n">
        <v>20</v>
      </c>
      <c r="K10" s="26" t="n">
        <v>40</v>
      </c>
      <c r="L10" s="26" t="n">
        <v>0</v>
      </c>
      <c r="M10" s="26" t="n">
        <v>200</v>
      </c>
      <c r="N10" s="26" t="n">
        <v>650</v>
      </c>
    </row>
    <row r="11" customFormat="false" ht="15" hidden="false" customHeight="false" outlineLevel="0" collapsed="false">
      <c r="A11" s="5" t="s">
        <v>116</v>
      </c>
      <c r="B11" s="26" t="n">
        <v>0.35</v>
      </c>
      <c r="C11" s="26" t="n">
        <v>1.8</v>
      </c>
      <c r="D11" s="26" t="n">
        <v>0</v>
      </c>
      <c r="E11" s="26" t="n">
        <v>0.4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8</v>
      </c>
      <c r="K11" s="26" t="n">
        <v>30</v>
      </c>
      <c r="L11" s="26" t="n">
        <v>0</v>
      </c>
      <c r="M11" s="26" t="n">
        <v>200</v>
      </c>
      <c r="N11" s="26" t="n">
        <v>680</v>
      </c>
    </row>
    <row r="13" customFormat="false" ht="15" hidden="false" customHeight="false" outlineLevel="0" collapsed="false">
      <c r="A13" s="10" t="s">
        <v>196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6"/>
  </cols>
  <sheetData>
    <row r="1" customFormat="false" ht="19.7" hidden="false" customHeight="false" outlineLevel="0" collapsed="false">
      <c r="A1" s="1" t="s">
        <v>197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0" t="s">
        <v>198</v>
      </c>
    </row>
    <row r="4" customFormat="false" ht="15" hidden="false" customHeight="false" outlineLevel="0" collapsed="false">
      <c r="A4" s="8"/>
      <c r="B4" s="8" t="s">
        <v>103</v>
      </c>
      <c r="C4" s="8" t="s">
        <v>106</v>
      </c>
      <c r="D4" s="8" t="s">
        <v>108</v>
      </c>
      <c r="E4" s="8" t="s">
        <v>199</v>
      </c>
      <c r="F4" s="8" t="s">
        <v>200</v>
      </c>
      <c r="G4" s="8" t="s">
        <v>201</v>
      </c>
      <c r="H4" s="8" t="s">
        <v>116</v>
      </c>
    </row>
    <row r="5" customFormat="false" ht="15" hidden="false" customHeight="false" outlineLevel="0" collapsed="false">
      <c r="A5" s="0" t="s">
        <v>121</v>
      </c>
      <c r="B5" s="27" t="n">
        <f aca="false">Assumptions!$B$59</f>
        <v>38.25</v>
      </c>
      <c r="C5" s="27" t="n">
        <f aca="false">Assumptions!$B$59</f>
        <v>38.25</v>
      </c>
      <c r="D5" s="27" t="n">
        <f aca="false">Assumptions!$B$59</f>
        <v>38.25</v>
      </c>
      <c r="E5" s="27" t="n">
        <f aca="false">Assumptions!$B$59</f>
        <v>38.25</v>
      </c>
      <c r="F5" s="27" t="n">
        <f aca="false">Assumptions!$B$59</f>
        <v>38.25</v>
      </c>
      <c r="G5" s="27" t="n">
        <f aca="false">Assumptions!$B$59</f>
        <v>38.25</v>
      </c>
      <c r="H5" s="27" t="n">
        <f aca="false">Assumptions!$B$59</f>
        <v>38.25</v>
      </c>
    </row>
    <row r="6" customFormat="false" ht="15" hidden="false" customHeight="false" outlineLevel="0" collapsed="false">
      <c r="A6" s="3" t="s">
        <v>202</v>
      </c>
    </row>
    <row r="7" customFormat="false" ht="15" hidden="false" customHeight="false" outlineLevel="0" collapsed="false">
      <c r="A7" s="5" t="s">
        <v>73</v>
      </c>
      <c r="B7" s="22" t="n">
        <f aca="false">Yields!B5*$B5*Assumptions!$B$24/1000</f>
        <v>237016.125</v>
      </c>
      <c r="C7" s="22" t="n">
        <f aca="false">Yields!B6*$B5*Assumptions!$B$24/1000</f>
        <v>711048.375</v>
      </c>
      <c r="D7" s="22" t="n">
        <f aca="false">Yields!B7*$B5*Assumptions!$B$24/1000</f>
        <v>0</v>
      </c>
      <c r="E7" s="22" t="n">
        <f aca="false">Yields!B8*$B5*Assumptions!$B$24/1000</f>
        <v>1053.405</v>
      </c>
      <c r="F7" s="22" t="n">
        <f aca="false">Yields!B9*$B5*Assumptions!$B$24/1000</f>
        <v>94806.45</v>
      </c>
      <c r="G7" s="22" t="n">
        <f aca="false">Yields!B10*$B5*Assumptions!$B$24/1000</f>
        <v>421.362</v>
      </c>
      <c r="H7" s="22" t="n">
        <f aca="false">Yields!B11*$B5*Assumptions!$B$24/1000</f>
        <v>1843.45875</v>
      </c>
    </row>
    <row r="8" customFormat="false" ht="15" hidden="false" customHeight="false" outlineLevel="0" collapsed="false">
      <c r="A8" s="5" t="s">
        <v>76</v>
      </c>
      <c r="B8" s="22" t="n">
        <f aca="false">Yields!C5*$B5*Assumptions!$B$25/1000</f>
        <v>14238.18</v>
      </c>
      <c r="C8" s="22" t="n">
        <f aca="false">Yields!C6*$B5*Assumptions!$B$25/1000</f>
        <v>56952.72</v>
      </c>
      <c r="D8" s="22" t="n">
        <f aca="false">Yields!C7*$B5*Assumptions!$B$25/1000</f>
        <v>0</v>
      </c>
      <c r="E8" s="22" t="n">
        <f aca="false">Yields!C8*$B5*Assumptions!$B$25/1000</f>
        <v>79.101</v>
      </c>
      <c r="F8" s="22" t="n">
        <f aca="false">Yields!C9*$B5*Assumptions!$B$25/1000</f>
        <v>5695.272</v>
      </c>
      <c r="G8" s="22" t="n">
        <f aca="false">Yields!C10*$B5*Assumptions!$B$25/1000</f>
        <v>118.6515</v>
      </c>
      <c r="H8" s="22" t="n">
        <f aca="false">Yields!C11*$B5*Assumptions!$B$25/1000</f>
        <v>142.3818</v>
      </c>
    </row>
    <row r="9" customFormat="false" ht="15" hidden="false" customHeight="false" outlineLevel="0" collapsed="false">
      <c r="A9" s="5" t="s">
        <v>78</v>
      </c>
      <c r="B9" s="22" t="n">
        <f aca="false">Yields!D5*$B5*Assumptions!$B$26/1000</f>
        <v>11689.2</v>
      </c>
      <c r="C9" s="22" t="n">
        <f aca="false">Yields!D6*$B5*Assumptions!$B$26/1000</f>
        <v>58446</v>
      </c>
      <c r="D9" s="22" t="n">
        <f aca="false">Yields!D7*$B5*Assumptions!$B$26/1000</f>
        <v>0</v>
      </c>
      <c r="E9" s="22" t="n">
        <f aca="false">Yields!D8*$B5*Assumptions!$B$26/1000</f>
        <v>0</v>
      </c>
      <c r="F9" s="22" t="n">
        <f aca="false">Yields!D9*$B5*Assumptions!$B$26/1000</f>
        <v>4383.45</v>
      </c>
      <c r="G9" s="22" t="n">
        <f aca="false">Yields!D10*$B5*Assumptions!$B$26/1000</f>
        <v>0</v>
      </c>
      <c r="H9" s="22" t="n">
        <f aca="false">Yields!D11*$B5*Assumptions!$B$26/1000</f>
        <v>0</v>
      </c>
    </row>
    <row r="10" customFormat="false" ht="15" hidden="false" customHeight="false" outlineLevel="0" collapsed="false">
      <c r="A10" s="5" t="s">
        <v>80</v>
      </c>
      <c r="B10" s="22" t="n">
        <f aca="false">Yields!E5*$B5*Assumptions!$B$27</f>
        <v>33977.475</v>
      </c>
      <c r="C10" s="22" t="n">
        <f aca="false">Yields!E6*$B5*Assumptions!$B$27</f>
        <v>60404.4</v>
      </c>
      <c r="D10" s="22" t="n">
        <f aca="false">Yields!E7*$B5*Assumptions!$B$27</f>
        <v>808.9875</v>
      </c>
      <c r="E10" s="22" t="n">
        <f aca="false">Yields!E8*$B5*Assumptions!$B$27</f>
        <v>539.325</v>
      </c>
      <c r="F10" s="22" t="n">
        <f aca="false">Yields!E9*$B5*Assumptions!$B$27</f>
        <v>14561.775</v>
      </c>
      <c r="G10" s="22" t="n">
        <f aca="false">Yields!E10*$B5*Assumptions!$B$27</f>
        <v>1294.38</v>
      </c>
      <c r="H10" s="22" t="n">
        <f aca="false">Yields!E11*$B5*Assumptions!$B$27</f>
        <v>215.73</v>
      </c>
    </row>
    <row r="11" customFormat="false" ht="15" hidden="false" customHeight="false" outlineLevel="0" collapsed="false">
      <c r="A11" s="5" t="s">
        <v>82</v>
      </c>
      <c r="B11" s="22" t="n">
        <f aca="false">Yields!F5*$B5*Assumptions!$B$28</f>
        <v>4498.2</v>
      </c>
      <c r="C11" s="22" t="n">
        <f aca="false">Yields!F6*$B5*Assumptions!$B$28</f>
        <v>3373.65</v>
      </c>
      <c r="D11" s="22" t="n">
        <f aca="false">Yields!F7*$B5*Assumptions!$B$28</f>
        <v>112.455</v>
      </c>
      <c r="E11" s="22" t="n">
        <f aca="false">Yields!F8*$B5*Assumptions!$B$28</f>
        <v>56.2275</v>
      </c>
      <c r="F11" s="22" t="n">
        <f aca="false">Yields!F9*$B5*Assumptions!$B$28</f>
        <v>2249.1</v>
      </c>
      <c r="G11" s="22" t="n">
        <f aca="false">Yields!F10*$B5*Assumptions!$B$28</f>
        <v>28.11375</v>
      </c>
      <c r="H11" s="22" t="n">
        <f aca="false">Yields!F11*$B5*Assumptions!$B$28</f>
        <v>0</v>
      </c>
    </row>
    <row r="12" customFormat="false" ht="15" hidden="false" customHeight="false" outlineLevel="0" collapsed="false">
      <c r="A12" s="5" t="s">
        <v>84</v>
      </c>
      <c r="B12" s="22" t="n">
        <f aca="false">Yields!G5*$B5*Assumptions!$B$29</f>
        <v>11153.7</v>
      </c>
      <c r="C12" s="22" t="n">
        <f aca="false">Yields!G6*$B5*Assumptions!$B$29</f>
        <v>18589.5</v>
      </c>
      <c r="D12" s="22" t="n">
        <f aca="false">Yields!G7*$B5*Assumptions!$B$29</f>
        <v>185.895</v>
      </c>
      <c r="E12" s="22" t="n">
        <f aca="false">Yields!G8*$B5*Assumptions!$B$29</f>
        <v>92.9475</v>
      </c>
      <c r="F12" s="22" t="n">
        <f aca="false">Yields!G9*$B5*Assumptions!$B$29</f>
        <v>5576.85</v>
      </c>
      <c r="G12" s="22" t="n">
        <f aca="false">Yields!G10*$B5*Assumptions!$B$29</f>
        <v>0</v>
      </c>
      <c r="H12" s="22" t="n">
        <f aca="false">Yields!G11*$B5*Assumptions!$B$29</f>
        <v>0</v>
      </c>
    </row>
    <row r="13" customFormat="false" ht="15" hidden="false" customHeight="false" outlineLevel="0" collapsed="false">
      <c r="A13" s="5" t="s">
        <v>86</v>
      </c>
      <c r="B13" s="22" t="n">
        <f aca="false">Yields!H5*$B5*Assumptions!$B$30</f>
        <v>1074.06</v>
      </c>
      <c r="C13" s="22" t="n">
        <f aca="false">Yields!H6*$B5*Assumptions!$B$30</f>
        <v>537.03</v>
      </c>
      <c r="D13" s="22" t="n">
        <f aca="false">Yields!H7*$B5*Assumptions!$B$30</f>
        <v>67.12875</v>
      </c>
      <c r="E13" s="22" t="n">
        <f aca="false">Yields!H8*$B5*Assumptions!$B$30</f>
        <v>53.703</v>
      </c>
      <c r="F13" s="22" t="n">
        <f aca="false">Yields!H9*$B5*Assumptions!$B$30</f>
        <v>537.03</v>
      </c>
      <c r="G13" s="22" t="n">
        <f aca="false">Yields!H10*$B5*Assumptions!$B$30</f>
        <v>13.42575</v>
      </c>
      <c r="H13" s="22" t="n">
        <f aca="false">Yields!H11*$B5*Assumptions!$B$30</f>
        <v>0</v>
      </c>
    </row>
    <row r="14" customFormat="false" ht="15" hidden="false" customHeight="false" outlineLevel="0" collapsed="false">
      <c r="A14" s="5" t="s">
        <v>88</v>
      </c>
      <c r="B14" s="22" t="n">
        <f aca="false">Yields!I5*$B5*Assumptions!$B$31</f>
        <v>535.5</v>
      </c>
      <c r="C14" s="22" t="n">
        <f aca="false">Yields!I6*$B5*Assumptions!$B$31</f>
        <v>803.25</v>
      </c>
      <c r="D14" s="22" t="n">
        <f aca="false">Yields!I7*$B5*Assumptions!$B$31</f>
        <v>20.08125</v>
      </c>
      <c r="E14" s="22" t="n">
        <f aca="false">Yields!I8*$B5*Assumptions!$B$31</f>
        <v>13.3875</v>
      </c>
      <c r="F14" s="22" t="n">
        <f aca="false">Yields!I9*$B5*Assumptions!$B$31</f>
        <v>267.75</v>
      </c>
      <c r="G14" s="22" t="n">
        <f aca="false">Yields!I10*$B5*Assumptions!$B$31</f>
        <v>3.346875</v>
      </c>
      <c r="H14" s="22" t="n">
        <f aca="false">Yields!I11*$B5*Assumptions!$B$31</f>
        <v>0</v>
      </c>
    </row>
    <row r="15" customFormat="false" ht="15" hidden="false" customHeight="false" outlineLevel="0" collapsed="false">
      <c r="A15" s="5" t="s">
        <v>90</v>
      </c>
      <c r="B15" s="22" t="n">
        <f aca="false">Yields!J5*$B5*Assumptions!$B$32</f>
        <v>3243.6</v>
      </c>
      <c r="C15" s="22" t="n">
        <f aca="false">Yields!J6*$B5*Assumptions!$B$32</f>
        <v>856.8</v>
      </c>
      <c r="D15" s="22" t="n">
        <f aca="false">Yields!J7*$B5*Assumptions!$B$32</f>
        <v>459</v>
      </c>
      <c r="E15" s="22" t="n">
        <f aca="false">Yields!J8*$B5*Assumptions!$B$32</f>
        <v>275.4</v>
      </c>
      <c r="F15" s="22" t="n">
        <f aca="false">Yields!J9*$B5*Assumptions!$B$32</f>
        <v>1683</v>
      </c>
      <c r="G15" s="22" t="n">
        <f aca="false">Yields!J10*$B5*Assumptions!$B$32</f>
        <v>306</v>
      </c>
      <c r="H15" s="22" t="n">
        <f aca="false">Yields!J11*$B5*Assumptions!$B$32</f>
        <v>122.4</v>
      </c>
    </row>
    <row r="16" customFormat="false" ht="15" hidden="false" customHeight="false" outlineLevel="0" collapsed="false">
      <c r="A16" s="5" t="s">
        <v>92</v>
      </c>
      <c r="B16" s="22" t="n">
        <f aca="false">Yields!K5*$B5*Assumptions!$B$33</f>
        <v>937.125</v>
      </c>
      <c r="C16" s="22" t="n">
        <f aca="false">Yields!K6*$B5*Assumptions!$B$33</f>
        <v>669.375</v>
      </c>
      <c r="D16" s="22" t="n">
        <f aca="false">Yields!K7*$B5*Assumptions!$B$33</f>
        <v>334.6875</v>
      </c>
      <c r="E16" s="22" t="n">
        <f aca="false">Yields!K8*$B5*Assumptions!$B$33</f>
        <v>267.75</v>
      </c>
      <c r="F16" s="22" t="n">
        <f aca="false">Yields!K9*$B5*Assumptions!$B$33</f>
        <v>669.375</v>
      </c>
      <c r="G16" s="22" t="n">
        <f aca="false">Yields!K10*$B5*Assumptions!$B$33</f>
        <v>535.5</v>
      </c>
      <c r="H16" s="22" t="n">
        <f aca="false">Yields!K11*$B5*Assumptions!$B$33</f>
        <v>401.625</v>
      </c>
    </row>
    <row r="17" customFormat="false" ht="15" hidden="false" customHeight="false" outlineLevel="0" collapsed="false">
      <c r="A17" s="5" t="s">
        <v>94</v>
      </c>
      <c r="B17" s="22" t="n">
        <f aca="false">Yields!L5*$B5*Assumptions!$B$34</f>
        <v>2581.875</v>
      </c>
      <c r="C17" s="22" t="n">
        <f aca="false">Yields!L6*$B5*Assumptions!$B$34</f>
        <v>2926.125</v>
      </c>
      <c r="D17" s="22" t="n">
        <f aca="false">Yields!L7*$B5*Assumptions!$B$34</f>
        <v>3098.25</v>
      </c>
      <c r="E17" s="22" t="n">
        <f aca="false">Yields!L8*$B5*Assumptions!$B$34</f>
        <v>1377</v>
      </c>
      <c r="F17" s="22" t="n">
        <f aca="false">Yields!L9*$B5*Assumptions!$B$34</f>
        <v>2065.5</v>
      </c>
      <c r="G17" s="22" t="n">
        <f aca="false">Yields!L10*$B5*Assumptions!$B$34</f>
        <v>0</v>
      </c>
      <c r="H17" s="22" t="n">
        <f aca="false">Yields!L11*$B5*Assumptions!$B$34</f>
        <v>0</v>
      </c>
    </row>
    <row r="18" customFormat="false" ht="15" hidden="false" customHeight="false" outlineLevel="0" collapsed="false">
      <c r="A18" s="5" t="s">
        <v>96</v>
      </c>
      <c r="B18" s="22" t="n">
        <f aca="false">Yields!M5*$B5*Assumptions!$B$35</f>
        <v>367.2</v>
      </c>
      <c r="C18" s="22" t="n">
        <f aca="false">Yields!M6*$B5*Assumptions!$B$35</f>
        <v>688.5</v>
      </c>
      <c r="D18" s="22" t="n">
        <f aca="false">Yields!M7*$B5*Assumptions!$B$35</f>
        <v>137.7</v>
      </c>
      <c r="E18" s="22" t="n">
        <f aca="false">Yields!M8*$B5*Assumptions!$B$35</f>
        <v>367.2</v>
      </c>
      <c r="F18" s="22" t="n">
        <f aca="false">Yields!M9*$B5*Assumptions!$B$35</f>
        <v>367.2</v>
      </c>
      <c r="G18" s="22" t="n">
        <f aca="false">Yields!M10*$B5*Assumptions!$B$35</f>
        <v>918</v>
      </c>
      <c r="H18" s="22" t="n">
        <f aca="false">Yields!M11*$B5*Assumptions!$B$35</f>
        <v>918</v>
      </c>
    </row>
    <row r="19" customFormat="false" ht="15" hidden="false" customHeight="false" outlineLevel="0" collapsed="false">
      <c r="A19" s="5" t="s">
        <v>98</v>
      </c>
      <c r="B19" s="22" t="n">
        <f aca="false">Yields!N5*$B5*Assumptions!$B$36</f>
        <v>91.8</v>
      </c>
      <c r="C19" s="22" t="n">
        <f aca="false">Yields!N6*$B5*Assumptions!$B$36</f>
        <v>130.05</v>
      </c>
      <c r="D19" s="22" t="n">
        <f aca="false">Yields!N7*$B5*Assumptions!$B$36</f>
        <v>38.25</v>
      </c>
      <c r="E19" s="22" t="n">
        <f aca="false">Yields!N8*$B5*Assumptions!$B$36</f>
        <v>336.6</v>
      </c>
      <c r="F19" s="22" t="n">
        <f aca="false">Yields!N9*$B5*Assumptions!$B$36</f>
        <v>153</v>
      </c>
      <c r="G19" s="22" t="n">
        <f aca="false">Yields!N10*$B5*Assumptions!$B$36</f>
        <v>497.25</v>
      </c>
      <c r="H19" s="22" t="n">
        <f aca="false">Yields!N11*$B5*Assumptions!$B$36</f>
        <v>520.2</v>
      </c>
    </row>
    <row r="20" customFormat="false" ht="15" hidden="false" customHeight="false" outlineLevel="0" collapsed="false">
      <c r="A20" s="0" t="s">
        <v>203</v>
      </c>
      <c r="B20" s="28" t="n">
        <f aca="false">SUM(B7:B19)</f>
        <v>321404.04</v>
      </c>
      <c r="C20" s="28" t="n">
        <f aca="false">SUM(C7:C19)</f>
        <v>915425.775</v>
      </c>
      <c r="D20" s="28" t="n">
        <f aca="false">SUM(D7:D19)</f>
        <v>5262.435</v>
      </c>
      <c r="E20" s="28" t="n">
        <f aca="false">SUM(E7:E19)</f>
        <v>4512.0465</v>
      </c>
      <c r="F20" s="28" t="n">
        <f aca="false">SUM(F7:F19)</f>
        <v>133015.752</v>
      </c>
      <c r="G20" s="28" t="n">
        <f aca="false">SUM(G7:G19)</f>
        <v>4136.029875</v>
      </c>
      <c r="H20" s="28" t="n">
        <f aca="false">SUM(H7:H19)</f>
        <v>4163.79555</v>
      </c>
    </row>
    <row r="21" customFormat="false" ht="15" hidden="false" customHeight="false" outlineLevel="0" collapsed="false">
      <c r="A21" s="5" t="s">
        <v>204</v>
      </c>
      <c r="B21" s="22" t="n">
        <f aca="false">-Assumptions!B40*$B$5</f>
        <v>-5737.5</v>
      </c>
      <c r="C21" s="22" t="n">
        <f aca="false">-Assumptions!B41*$B$5</f>
        <v>-22950</v>
      </c>
      <c r="D21" s="22" t="n">
        <f aca="false">-Assumptions!B42*$B$5</f>
        <v>2103.75</v>
      </c>
      <c r="E21" s="22" t="n">
        <f aca="false">-Assumptions!B43*$B$5</f>
        <v>-1147.5</v>
      </c>
      <c r="F21" s="22" t="n">
        <f aca="false">-Assumptions!B44*$B$5</f>
        <v>-1721.25</v>
      </c>
      <c r="G21" s="22" t="n">
        <f aca="false">-Assumptions!B45*$B$5</f>
        <v>-306</v>
      </c>
      <c r="H21" s="22" t="n">
        <f aca="false">-Assumptions!B46*$B$5</f>
        <v>-459</v>
      </c>
    </row>
    <row r="22" customFormat="false" ht="15" hidden="false" customHeight="false" outlineLevel="0" collapsed="false">
      <c r="A22" s="0" t="s">
        <v>205</v>
      </c>
      <c r="B22" s="29" t="n">
        <f aca="false">B20+B21</f>
        <v>315666.54</v>
      </c>
      <c r="C22" s="29" t="n">
        <f aca="false">C20+C21</f>
        <v>892475.775</v>
      </c>
      <c r="D22" s="29" t="n">
        <f aca="false">D20+D21</f>
        <v>7366.185</v>
      </c>
      <c r="E22" s="29" t="n">
        <f aca="false">E20+E21</f>
        <v>3364.5465</v>
      </c>
      <c r="F22" s="29" t="n">
        <f aca="false">F20+F21</f>
        <v>131294.502</v>
      </c>
      <c r="G22" s="29" t="n">
        <f aca="false">G20+G21</f>
        <v>3830.029875</v>
      </c>
      <c r="H22" s="29" t="n">
        <f aca="false">H20+H21</f>
        <v>3704.79555</v>
      </c>
    </row>
    <row r="24" customFormat="false" ht="15" hidden="false" customHeight="false" outlineLevel="0" collapsed="false">
      <c r="A24" s="3" t="s">
        <v>206</v>
      </c>
    </row>
    <row r="25" customFormat="false" ht="15" hidden="false" customHeight="false" outlineLevel="0" collapsed="false">
      <c r="A25" s="0" t="s">
        <v>177</v>
      </c>
      <c r="B25" s="22" t="n">
        <f aca="false">Opex!$B$9</f>
        <v>199140</v>
      </c>
      <c r="C25" s="22" t="n">
        <f aca="false">Opex!$B$9</f>
        <v>199140</v>
      </c>
      <c r="D25" s="22" t="n">
        <f aca="false">Opex!$B$9</f>
        <v>199140</v>
      </c>
      <c r="E25" s="22" t="n">
        <f aca="false">Opex!$B$9</f>
        <v>199140</v>
      </c>
      <c r="F25" s="22" t="n">
        <f aca="false">Opex!$B$9</f>
        <v>199140</v>
      </c>
      <c r="G25" s="22" t="n">
        <f aca="false">Opex!$B$9</f>
        <v>199140</v>
      </c>
      <c r="H25" s="22" t="n">
        <f aca="false">Opex!$B$9</f>
        <v>199140</v>
      </c>
    </row>
    <row r="26" customFormat="false" ht="15" hidden="false" customHeight="false" outlineLevel="0" collapsed="false">
      <c r="A26" s="0" t="s">
        <v>207</v>
      </c>
      <c r="B26" s="22" t="n">
        <f aca="false">MAX(0,Assumptions!B50*$B$5-Assumptions!$B$60)*Assumptions!$B$9</f>
        <v>822</v>
      </c>
      <c r="C26" s="22" t="n">
        <f aca="false">MAX(0,Assumptions!B51*$B$5-Assumptions!$B$60)*Assumptions!$B$9</f>
        <v>0</v>
      </c>
      <c r="D26" s="22" t="n">
        <f aca="false">MAX(0,Assumptions!B52*$B$5-Assumptions!$B$60)*Assumptions!$B$9</f>
        <v>0</v>
      </c>
      <c r="E26" s="22" t="n">
        <f aca="false">MAX(0,Assumptions!B53*$B$5-Assumptions!$B$60)*Assumptions!$B$9</f>
        <v>0</v>
      </c>
      <c r="F26" s="22" t="n">
        <f aca="false">MAX(0,Assumptions!B54*$B$5-Assumptions!$B$60)*Assumptions!$B$9</f>
        <v>0</v>
      </c>
      <c r="G26" s="22" t="n">
        <f aca="false">MAX(0,Assumptions!B55*$B$5-Assumptions!$B$60)*Assumptions!$B$9</f>
        <v>0</v>
      </c>
      <c r="H26" s="22" t="n">
        <f aca="false">MAX(0,Assumptions!B56*$B$5-Assumptions!$B$60)*Assumptions!$B$9</f>
        <v>0</v>
      </c>
    </row>
    <row r="27" customFormat="false" ht="15" hidden="false" customHeight="false" outlineLevel="0" collapsed="false">
      <c r="A27" s="0" t="s">
        <v>208</v>
      </c>
      <c r="B27" s="28" t="n">
        <f aca="false">B25+B26</f>
        <v>199962</v>
      </c>
      <c r="C27" s="28" t="n">
        <f aca="false">C25+C26</f>
        <v>199140</v>
      </c>
      <c r="D27" s="28" t="n">
        <f aca="false">D25+D26</f>
        <v>199140</v>
      </c>
      <c r="E27" s="28" t="n">
        <f aca="false">E25+E26</f>
        <v>199140</v>
      </c>
      <c r="F27" s="28" t="n">
        <f aca="false">F25+F26</f>
        <v>199140</v>
      </c>
      <c r="G27" s="28" t="n">
        <f aca="false">G25+G26</f>
        <v>199140</v>
      </c>
      <c r="H27" s="28" t="n">
        <f aca="false">H25+H26</f>
        <v>199140</v>
      </c>
    </row>
    <row r="29" customFormat="false" ht="15" hidden="false" customHeight="false" outlineLevel="0" collapsed="false">
      <c r="A29" s="0" t="s">
        <v>209</v>
      </c>
      <c r="B29" s="23" t="n">
        <f aca="false">B22-B27</f>
        <v>115704.54</v>
      </c>
      <c r="C29" s="23" t="n">
        <f aca="false">C22-C27</f>
        <v>693335.775</v>
      </c>
      <c r="D29" s="23" t="n">
        <f aca="false">D22-D27</f>
        <v>-191773.815</v>
      </c>
      <c r="E29" s="23" t="n">
        <f aca="false">E22-E27</f>
        <v>-195775.4535</v>
      </c>
      <c r="F29" s="23" t="n">
        <f aca="false">F22-F27</f>
        <v>-67845.498</v>
      </c>
      <c r="G29" s="23" t="n">
        <f aca="false">G22-G27</f>
        <v>-195309.970125</v>
      </c>
      <c r="H29" s="23" t="n">
        <f aca="false">H22-H27</f>
        <v>-195435.20445</v>
      </c>
    </row>
    <row r="30" customFormat="false" ht="15" hidden="false" customHeight="false" outlineLevel="0" collapsed="false">
      <c r="A30" s="0" t="s">
        <v>210</v>
      </c>
      <c r="B30" s="22" t="n">
        <f aca="false">Capex!$B$23/Assumptions!$B$17</f>
        <v>109200</v>
      </c>
      <c r="C30" s="22" t="n">
        <f aca="false">Capex!$B$23/Assumptions!$B$17</f>
        <v>109200</v>
      </c>
      <c r="D30" s="22" t="n">
        <f aca="false">Capex!$B$23/Assumptions!$B$17</f>
        <v>109200</v>
      </c>
      <c r="E30" s="22" t="n">
        <f aca="false">Capex!$B$23/Assumptions!$B$17</f>
        <v>109200</v>
      </c>
      <c r="F30" s="22" t="n">
        <f aca="false">Capex!$B$23/Assumptions!$B$17</f>
        <v>109200</v>
      </c>
      <c r="G30" s="22" t="n">
        <f aca="false">Capex!$B$23/Assumptions!$B$17</f>
        <v>109200</v>
      </c>
      <c r="H30" s="22" t="n">
        <f aca="false">Capex!$B$23/Assumptions!$B$17</f>
        <v>109200</v>
      </c>
    </row>
    <row r="31" customFormat="false" ht="15" hidden="false" customHeight="false" outlineLevel="0" collapsed="false">
      <c r="A31" s="0" t="s">
        <v>211</v>
      </c>
      <c r="B31" s="30" t="n">
        <f aca="false">B29-B30</f>
        <v>6504.53999999998</v>
      </c>
      <c r="C31" s="30" t="n">
        <f aca="false">C29-C30</f>
        <v>584135.775</v>
      </c>
      <c r="D31" s="30" t="n">
        <f aca="false">D29-D30</f>
        <v>-300973.815</v>
      </c>
      <c r="E31" s="30" t="n">
        <f aca="false">E29-E30</f>
        <v>-304975.4535</v>
      </c>
      <c r="F31" s="30" t="n">
        <f aca="false">F29-F30</f>
        <v>-177045.498</v>
      </c>
      <c r="G31" s="30" t="n">
        <f aca="false">G29-G30</f>
        <v>-304509.970125</v>
      </c>
      <c r="H31" s="30" t="n">
        <f aca="false">H29-H30</f>
        <v>-304635.20445</v>
      </c>
    </row>
    <row r="32" customFormat="false" ht="15" hidden="false" customHeight="false" outlineLevel="0" collapsed="false">
      <c r="A32" s="0" t="s">
        <v>212</v>
      </c>
      <c r="B32" s="22" t="n">
        <f aca="false">MAX(0,B31)*Assumptions!$B$18</f>
        <v>1365.9534</v>
      </c>
      <c r="C32" s="22" t="n">
        <f aca="false">MAX(0,C31)*Assumptions!$B$18</f>
        <v>122668.51275</v>
      </c>
      <c r="D32" s="22" t="n">
        <f aca="false">MAX(0,D31)*Assumptions!$B$18</f>
        <v>0</v>
      </c>
      <c r="E32" s="22" t="n">
        <f aca="false">MAX(0,E31)*Assumptions!$B$18</f>
        <v>0</v>
      </c>
      <c r="F32" s="22" t="n">
        <f aca="false">MAX(0,F31)*Assumptions!$B$18</f>
        <v>0</v>
      </c>
      <c r="G32" s="22" t="n">
        <f aca="false">MAX(0,G31)*Assumptions!$B$18</f>
        <v>0</v>
      </c>
      <c r="H32" s="22" t="n">
        <f aca="false">MAX(0,H31)*Assumptions!$B$18</f>
        <v>0</v>
      </c>
    </row>
    <row r="33" customFormat="false" ht="15" hidden="false" customHeight="false" outlineLevel="0" collapsed="false">
      <c r="A33" s="0" t="s">
        <v>213</v>
      </c>
      <c r="B33" s="21" t="n">
        <f aca="false">B31-B32</f>
        <v>5138.58659999998</v>
      </c>
      <c r="C33" s="21" t="n">
        <f aca="false">C31-C32</f>
        <v>461467.26225</v>
      </c>
      <c r="D33" s="21" t="n">
        <f aca="false">D31-D32</f>
        <v>-300973.815</v>
      </c>
      <c r="E33" s="21" t="n">
        <f aca="false">E31-E32</f>
        <v>-304975.4535</v>
      </c>
      <c r="F33" s="21" t="n">
        <f aca="false">F31-F32</f>
        <v>-177045.498</v>
      </c>
      <c r="G33" s="21" t="n">
        <f aca="false">G31-G32</f>
        <v>-304509.970125</v>
      </c>
      <c r="H33" s="21" t="n">
        <f aca="false">H31-H32</f>
        <v>-304635.20445</v>
      </c>
    </row>
    <row r="35" customFormat="false" ht="15" hidden="false" customHeight="false" outlineLevel="0" collapsed="false">
      <c r="A35" s="0" t="s">
        <v>214</v>
      </c>
      <c r="B35" s="20" t="n">
        <f aca="false">B33+B30</f>
        <v>114338.5866</v>
      </c>
      <c r="C35" s="20" t="n">
        <f aca="false">C33+C30</f>
        <v>570667.26225</v>
      </c>
      <c r="D35" s="20" t="n">
        <f aca="false">D33+D30</f>
        <v>-191773.815</v>
      </c>
      <c r="E35" s="20" t="n">
        <f aca="false">E33+E30</f>
        <v>-195775.4535</v>
      </c>
      <c r="F35" s="20" t="n">
        <f aca="false">F33+F30</f>
        <v>-67845.498</v>
      </c>
      <c r="G35" s="20" t="n">
        <f aca="false">G33+G30</f>
        <v>-195309.970125</v>
      </c>
      <c r="H35" s="20" t="n">
        <f aca="false">H33+H30</f>
        <v>-195435.20445</v>
      </c>
    </row>
    <row r="36" customFormat="false" ht="15" hidden="false" customHeight="false" outlineLevel="0" collapsed="false">
      <c r="A36" s="0" t="s">
        <v>215</v>
      </c>
      <c r="B36" s="31" t="n">
        <f aca="false">IF(B35&lt;=0,"n.m.",Capex!$B$25/B35)</f>
        <v>9.68991512791711</v>
      </c>
      <c r="C36" s="31" t="n">
        <f aca="false">IF(C35&lt;=0,"n.m.",Capex!$B$25/C35)</f>
        <v>1.94146619806383</v>
      </c>
      <c r="D36" s="31" t="str">
        <f aca="false">IF(D35&lt;=0,"n.m.",Capex!$B$25/D35)</f>
        <v>n.m.</v>
      </c>
      <c r="E36" s="31" t="str">
        <f aca="false">IF(E35&lt;=0,"n.m.",Capex!$B$25/E35)</f>
        <v>n.m.</v>
      </c>
      <c r="F36" s="31" t="str">
        <f aca="false">IF(F35&lt;=0,"n.m.",Capex!$B$25/F35)</f>
        <v>n.m.</v>
      </c>
      <c r="G36" s="31" t="str">
        <f aca="false">IF(G35&lt;=0,"n.m.",Capex!$B$25/G35)</f>
        <v>n.m.</v>
      </c>
      <c r="H36" s="31" t="str">
        <f aca="false">IF(H35&lt;=0,"n.m.",Capex!$B$25/H35)</f>
        <v>n.m.</v>
      </c>
    </row>
    <row r="37" customFormat="false" ht="15" hidden="false" customHeight="false" outlineLevel="0" collapsed="false">
      <c r="A37" s="0" t="s">
        <v>216</v>
      </c>
      <c r="B37" s="32" t="n">
        <f aca="false">IF(B22=0,0,B31/B22)</f>
        <v>0.0206057316052565</v>
      </c>
      <c r="C37" s="32" t="n">
        <f aca="false">IF(C22=0,0,C31/C22)</f>
        <v>0.654511630861913</v>
      </c>
      <c r="D37" s="32" t="n">
        <f aca="false">IF(D22=0,0,D31/D22)</f>
        <v>-40.8588455218</v>
      </c>
      <c r="E37" s="32" t="n">
        <f aca="false">IF(E22=0,0,E31/E22)</f>
        <v>-90.6438515562201</v>
      </c>
      <c r="F37" s="32" t="n">
        <f aca="false">IF(F22=0,0,F31/F22)</f>
        <v>-1.34846086700569</v>
      </c>
      <c r="G37" s="32" t="n">
        <f aca="false">IF(G22=0,0,G31/G22)</f>
        <v>-79.5058994481081</v>
      </c>
      <c r="H37" s="32" t="n">
        <f aca="false">IF(H22=0,0,H31/H22)</f>
        <v>-82.2272647271993</v>
      </c>
    </row>
    <row r="38" customFormat="false" ht="15" hidden="false" customHeight="false" outlineLevel="0" collapsed="false">
      <c r="A38" s="0" t="s">
        <v>217</v>
      </c>
      <c r="B38" s="20" t="n">
        <f aca="false">IF($B$5=0,0,B22/$B$5)</f>
        <v>8252.72</v>
      </c>
      <c r="C38" s="20" t="n">
        <f aca="false">IF($B$5=0,0,C22/$B$5)</f>
        <v>23332.7</v>
      </c>
      <c r="D38" s="20" t="n">
        <f aca="false">IF($B$5=0,0,D22/$B$5)</f>
        <v>192.58</v>
      </c>
      <c r="E38" s="20" t="n">
        <f aca="false">IF($B$5=0,0,E22/$B$5)</f>
        <v>87.962</v>
      </c>
      <c r="F38" s="20" t="n">
        <f aca="false">IF($B$5=0,0,F22/$B$5)</f>
        <v>3432.536</v>
      </c>
      <c r="G38" s="20" t="n">
        <f aca="false">IF($B$5=0,0,G22/$B$5)</f>
        <v>100.1315</v>
      </c>
      <c r="H38" s="20" t="n">
        <f aca="false">IF($B$5=0,0,H22/$B$5)</f>
        <v>96.8574</v>
      </c>
    </row>
    <row r="39" customFormat="false" ht="15" hidden="false" customHeight="false" outlineLevel="0" collapsed="false">
      <c r="A39" s="0" t="s">
        <v>218</v>
      </c>
      <c r="B39" s="20" t="n">
        <f aca="false">IF($B$5=0,0,B27/$B$5)</f>
        <v>5227.76470588235</v>
      </c>
      <c r="C39" s="20" t="n">
        <f aca="false">IF($B$5=0,0,C27/$B$5)</f>
        <v>5206.27450980392</v>
      </c>
      <c r="D39" s="20" t="n">
        <f aca="false">IF($B$5=0,0,D27/$B$5)</f>
        <v>5206.27450980392</v>
      </c>
      <c r="E39" s="20" t="n">
        <f aca="false">IF($B$5=0,0,E27/$B$5)</f>
        <v>5206.27450980392</v>
      </c>
      <c r="F39" s="20" t="n">
        <f aca="false">IF($B$5=0,0,F27/$B$5)</f>
        <v>5206.27450980392</v>
      </c>
      <c r="G39" s="20" t="n">
        <f aca="false">IF($B$5=0,0,G27/$B$5)</f>
        <v>5206.27450980392</v>
      </c>
      <c r="H39" s="20" t="n">
        <f aca="false">IF($B$5=0,0,H27/$B$5)</f>
        <v>5206.27450980392</v>
      </c>
    </row>
    <row r="41" customFormat="false" ht="15" hidden="false" customHeight="true" outlineLevel="0" collapsed="false">
      <c r="A41" s="33" t="s">
        <v>219</v>
      </c>
      <c r="B41" s="33"/>
      <c r="C41" s="33"/>
      <c r="D41" s="33"/>
      <c r="E41" s="33"/>
      <c r="F41" s="33"/>
      <c r="G41" s="33"/>
      <c r="H41" s="33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</row>
  </sheetData>
  <mergeCells count="2">
    <mergeCell ref="A1:H1"/>
    <mergeCell ref="A41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9" t="s">
        <v>220</v>
      </c>
    </row>
    <row r="3" customFormat="false" ht="15" hidden="false" customHeight="false" outlineLevel="0" collapsed="false">
      <c r="A3" s="5" t="s">
        <v>166</v>
      </c>
      <c r="B3" s="22" t="n">
        <f aca="false">Capex!B23</f>
        <v>1092000</v>
      </c>
    </row>
    <row r="4" customFormat="false" ht="15" hidden="false" customHeight="false" outlineLevel="0" collapsed="false">
      <c r="A4" s="5" t="s">
        <v>65</v>
      </c>
      <c r="B4" s="22" t="n">
        <f aca="false">Capex!B24</f>
        <v>15931.2</v>
      </c>
    </row>
    <row r="5" customFormat="false" ht="15" hidden="false" customHeight="false" outlineLevel="0" collapsed="false">
      <c r="A5" s="5" t="s">
        <v>167</v>
      </c>
      <c r="B5" s="22" t="n">
        <f aca="false">Capex!B25</f>
        <v>1107931.2</v>
      </c>
    </row>
    <row r="6" customFormat="false" ht="15" hidden="false" customHeight="false" outlineLevel="0" collapsed="false">
      <c r="A6" s="5" t="s">
        <v>221</v>
      </c>
      <c r="B6" s="22" t="n">
        <f aca="false">Capex!B23/Assumptions!B17</f>
        <v>109200</v>
      </c>
    </row>
    <row r="7" customFormat="false" ht="15" hidden="false" customHeight="false" outlineLevel="0" collapsed="false">
      <c r="A7" s="5" t="s">
        <v>177</v>
      </c>
      <c r="B7" s="22" t="n">
        <f aca="false">Opex!B9</f>
        <v>199140</v>
      </c>
    </row>
    <row r="8" customFormat="false" ht="15" hidden="false" customHeight="false" outlineLevel="0" collapsed="false">
      <c r="A8" s="0" t="s">
        <v>222</v>
      </c>
      <c r="B8" s="25" t="n">
        <f aca="false">Assumptions!B60</f>
        <v>105000</v>
      </c>
      <c r="C8" s="17" t="s">
        <v>223</v>
      </c>
    </row>
    <row r="10" customFormat="false" ht="15" hidden="false" customHeight="false" outlineLevel="0" collapsed="false">
      <c r="A10" s="3" t="s">
        <v>224</v>
      </c>
    </row>
    <row r="11" customFormat="false" ht="90" hidden="false" customHeight="true" outlineLevel="0" collapsed="false">
      <c r="A11" s="7" t="s">
        <v>225</v>
      </c>
      <c r="B11" s="7"/>
      <c r="C11" s="7"/>
    </row>
    <row r="12" customFormat="false" ht="15" hidden="false" customHeight="false" outlineLevel="0" collapsed="false">
      <c r="A12" s="7"/>
      <c r="B12" s="7"/>
      <c r="C12" s="7"/>
    </row>
    <row r="13" customFormat="false" ht="15" hidden="false" customHeight="false" outlineLevel="0" collapsed="false">
      <c r="A13" s="7"/>
      <c r="B13" s="7"/>
      <c r="C13" s="7"/>
    </row>
    <row r="14" customFormat="false" ht="15" hidden="false" customHeight="false" outlineLevel="0" collapsed="false">
      <c r="A14" s="7"/>
      <c r="B14" s="7"/>
      <c r="C14" s="7"/>
    </row>
    <row r="15" customFormat="false" ht="15" hidden="false" customHeight="false" outlineLevel="0" collapsed="false">
      <c r="A15" s="7"/>
      <c r="B15" s="7"/>
      <c r="C15" s="7"/>
    </row>
    <row r="16" customFormat="false" ht="15" hidden="false" customHeight="false" outlineLevel="0" collapsed="false">
      <c r="A16" s="7"/>
      <c r="B16" s="7"/>
      <c r="C16" s="7"/>
    </row>
    <row r="18" customFormat="false" ht="15" hidden="false" customHeight="false" outlineLevel="0" collapsed="false">
      <c r="A18" s="2" t="s">
        <v>226</v>
      </c>
      <c r="B18" s="2"/>
      <c r="C18" s="2"/>
    </row>
  </sheetData>
  <mergeCells count="2">
    <mergeCell ref="A11:C16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2026-09-26T09:23:06Z</dcterms:created>
  <dc:creator>openpyxl</dc:creator>
  <dc:description/>
  <dc:language>en-US</dc:language>
  <cp:lastModifiedBy/>
  <dcterms:modified xsi:type="dcterms:W3CDTF">2026-09-26T09:23:09Z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