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RIVERS" sheetId="2" state="visible" r:id="rId2"/>
    <sheet xmlns:r="http://schemas.openxmlformats.org/officeDocument/2006/relationships" name="TREE" sheetId="3" state="visible" r:id="rId3"/>
    <sheet xmlns:r="http://schemas.openxmlformats.org/officeDocument/2006/relationships" name="ELECTRICAL" sheetId="4" state="visible" r:id="rId4"/>
    <sheet xmlns:r="http://schemas.openxmlformats.org/officeDocument/2006/relationships" name="HEAT_LEDGER" sheetId="5" state="visible" r:id="rId5"/>
    <sheet xmlns:r="http://schemas.openxmlformats.org/officeDocument/2006/relationships" name="DIGESTER" sheetId="6" state="visible" r:id="rId6"/>
    <sheet xmlns:r="http://schemas.openxmlformats.org/officeDocument/2006/relationships" name="OIL" sheetId="7" state="visible" r:id="rId7"/>
    <sheet xmlns:r="http://schemas.openxmlformats.org/officeDocument/2006/relationships" name="GLASS" sheetId="8" state="visible" r:id="rId8"/>
    <sheet xmlns:r="http://schemas.openxmlformats.org/officeDocument/2006/relationships" name="POLYMERS" sheetId="9" state="visible" r:id="rId9"/>
    <sheet xmlns:r="http://schemas.openxmlformats.org/officeDocument/2006/relationships" name="GAS" sheetId="10" state="visible" r:id="rId10"/>
    <sheet xmlns:r="http://schemas.openxmlformats.org/officeDocument/2006/relationships" name="FAB" sheetId="11" state="visible" r:id="rId11"/>
    <sheet xmlns:r="http://schemas.openxmlformats.org/officeDocument/2006/relationships" name="MFG" sheetId="12" state="visible" r:id="rId12"/>
    <sheet xmlns:r="http://schemas.openxmlformats.org/officeDocument/2006/relationships" name="FOUNDRY" sheetId="13" state="visible" r:id="rId13"/>
    <sheet xmlns:r="http://schemas.openxmlformats.org/officeDocument/2006/relationships" name="NUT" sheetId="14" state="visible" r:id="rId14"/>
    <sheet xmlns:r="http://schemas.openxmlformats.org/officeDocument/2006/relationships" name="FARM" sheetId="15" state="visible" r:id="rId15"/>
    <sheet xmlns:r="http://schemas.openxmlformats.org/officeDocument/2006/relationships" name="HAB" sheetId="16" state="visible" r:id="rId16"/>
    <sheet xmlns:r="http://schemas.openxmlformats.org/officeDocument/2006/relationships" name="CRYO" sheetId="17" state="visible" r:id="rId17"/>
    <sheet xmlns:r="http://schemas.openxmlformats.org/officeDocument/2006/relationships" name="WTR" sheetId="18" state="visible" r:id="rId18"/>
    <sheet xmlns:r="http://schemas.openxmlformats.org/officeDocument/2006/relationships" name="ELEC" sheetId="19" state="visible" r:id="rId19"/>
    <sheet xmlns:r="http://schemas.openxmlformats.org/officeDocument/2006/relationships" name="HEAT" sheetId="20" state="visible" r:id="rId20"/>
    <sheet xmlns:r="http://schemas.openxmlformats.org/officeDocument/2006/relationships" name="MEOH" sheetId="21" state="visible" r:id="rId21"/>
    <sheet xmlns:r="http://schemas.openxmlformats.org/officeDocument/2006/relationships" name="PUMPED_HYDRO" sheetId="22" state="visible" r:id="rId22"/>
    <sheet xmlns:r="http://schemas.openxmlformats.org/officeDocument/2006/relationships" name="GEO" sheetId="23" state="visible" r:id="rId23"/>
    <sheet xmlns:r="http://schemas.openxmlformats.org/officeDocument/2006/relationships" name="DOCK" sheetId="24" state="visible" r:id="rId24"/>
  </sheets>
  <definedNames>
    <definedName name="_xlnm._FilterDatabase" localSheetId="1" hidden="1">'DRIVERS'!$A$1:$L$830</definedName>
    <definedName name="_xlnm._FilterDatabase" localSheetId="2" hidden="1">'TREE'!$A$1:$J$250</definedName>
    <definedName name="_xlnm._FilterDatabase" localSheetId="5" hidden="1">'DIGESTER'!$A$1:$H$26</definedName>
    <definedName name="_xlnm._FilterDatabase" localSheetId="6" hidden="1">'OIL'!$A$1:$H$14</definedName>
    <definedName name="_xlnm._FilterDatabase" localSheetId="7" hidden="1">'GLASS'!$A$1:$H$6</definedName>
    <definedName name="_xlnm._FilterDatabase" localSheetId="8" hidden="1">'POLYMERS'!$A$1:$H$11</definedName>
    <definedName name="_xlnm._FilterDatabase" localSheetId="9" hidden="1">'GAS'!$A$1:$H$11</definedName>
    <definedName name="_xlnm._FilterDatabase" localSheetId="10" hidden="1">'FAB'!$A$1:$H$18</definedName>
    <definedName name="_xlnm._FilterDatabase" localSheetId="11" hidden="1">'MFG'!$A$1:$H$11</definedName>
    <definedName name="_xlnm._FilterDatabase" localSheetId="12" hidden="1">'FOUNDRY'!$A$1:$H$28</definedName>
    <definedName name="_xlnm._FilterDatabase" localSheetId="13" hidden="1">'NUT'!$A$1:$H$2</definedName>
    <definedName name="_xlnm._FilterDatabase" localSheetId="14" hidden="1">'FARM'!$A$1:$H$3</definedName>
    <definedName name="_xlnm._FilterDatabase" localSheetId="15" hidden="1">'HAB'!$A$1:$H$4</definedName>
    <definedName name="_xlnm._FilterDatabase" localSheetId="16" hidden="1">'CRYO'!$A$1:$H$15</definedName>
    <definedName name="_xlnm._FilterDatabase" localSheetId="17" hidden="1">'WTR'!$A$1:$H$9</definedName>
    <definedName name="_xlnm._FilterDatabase" localSheetId="18" hidden="1">'ELEC'!$A$1:$H$10</definedName>
    <definedName name="_xlnm._FilterDatabase" localSheetId="19" hidden="1">'HEAT'!$A$1:$H$13</definedName>
    <definedName name="_xlnm._FilterDatabase" localSheetId="20" hidden="1">'MEOH'!$A$1:$H$6</definedName>
    <definedName name="_xlnm._FilterDatabase" localSheetId="21" hidden="1">'PUMPED_HYDRO'!$A$1:$H$2</definedName>
    <definedName name="_xlnm._FilterDatabase" localSheetId="22" hidden="1">'GEO'!$A$1:$H$5</definedName>
    <definedName name="_xlnm._FilterDatabase" localSheetId="23" hidden="1">'DOCK'!$A$1:$H$3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FFFFFFFF"/>
    </font>
  </fonts>
  <fills count="6">
    <fill>
      <patternFill/>
    </fill>
    <fill>
      <patternFill patternType="gray125"/>
    </fill>
    <fill>
      <patternFill patternType="solid">
        <fgColor rgb="FFE2EFDA"/>
      </patternFill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164" fontId="0" fillId="2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pivotButton="0" quotePrefix="0" xfId="0"/>
    <xf numFmtId="0" fontId="1" fillId="5" borderId="0" pivotButton="0" quotePrefix="0" xfId="0"/>
    <xf numFmtId="164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0" customWidth="1" min="1" max="1"/>
    <col width="96" customWidth="1" min="2" max="2"/>
    <col width="60" customWidth="1" min="3" max="3"/>
  </cols>
  <sheetData>
    <row r="1">
      <c r="A1" s="1" t="inlineStr">
        <is>
          <t>MODEL_WORKBOOK</t>
        </is>
      </c>
      <c r="B1" t="inlineStr">
        <is>
          <t>Cascading parametric model workbook (U5, Option A): the plant calc chain as one readable view.</t>
        </is>
      </c>
    </row>
    <row r="2">
      <c r="A2" s="1" t="inlineStr">
        <is>
          <t>STATUS</t>
        </is>
      </c>
      <c r="B2" t="inlineStr">
        <is>
          <t>GENERATED FILE -- DO NOT EDIT BY HAND. Regeneration overwrites every sheet.</t>
        </is>
      </c>
    </row>
    <row r="3">
      <c r="A3" s="1" t="inlineStr">
        <is>
          <t>GENERATOR</t>
        </is>
      </c>
      <c r="B3" t="inlineStr">
        <is>
          <t>docs-authority/_model_workbook.py</t>
        </is>
      </c>
    </row>
    <row r="4">
      <c r="A4" s="1" t="inlineStr">
        <is>
          <t>REGENERATE</t>
        </is>
      </c>
      <c r="B4" t="inlineStr">
        <is>
          <t>python3 -m flow_graph.param.regen  (stage `model_workbook`, after task_plan)   |   standalone: python3 docs-authority/_model_workbook.py</t>
        </is>
      </c>
    </row>
    <row r="5">
      <c r="A5" s="1" t="inlineStr">
        <is>
          <t>GRAPH</t>
        </is>
      </c>
      <c r="B5" t="inlineStr">
        <is>
          <t>flow_graph/plant_flow_graph.json -- revision AC -- sha256 c574534a6f1520b016129356bff301d6dbd8824ec94cf2ced7e8c28710ac36be</t>
        </is>
      </c>
    </row>
    <row r="6">
      <c r="A6" s="1" t="inlineStr">
        <is>
          <t>DRIVERS</t>
        </is>
      </c>
      <c r="B6" t="inlineStr">
        <is>
          <t>flow_graph/param/drivers.json -- keys:</t>
        </is>
      </c>
      <c r="C6" s="2">
        <f>COUNTA(DRIVERS!A:A)-1</f>
        <v/>
      </c>
    </row>
    <row r="7">
      <c r="A7" s="1" t="inlineStr">
        <is>
          <t>SYSTEM TREE</t>
        </is>
      </c>
      <c r="B7" t="inlineStr">
        <is>
          <t>flow_graph/system_tree.yaml -- AQS-SYS-TREE-001 Rev A (2026-10-18) -- nodes:</t>
        </is>
      </c>
      <c r="C7" s="2">
        <f>COUNTA(TREE!A:A)-1</f>
        <v/>
      </c>
    </row>
    <row r="8">
      <c r="A8" s="1" t="inlineStr">
        <is>
          <t>PLANT SET</t>
        </is>
      </c>
      <c r="B8" t="inlineStr">
        <is>
          <t>178 units across 19 sectors; the tree leaf set equals the graph unit set (drift guard: pytest flow_graph/param/test_system_tree.py).</t>
        </is>
      </c>
    </row>
    <row r="9">
      <c r="A9" s="1" t="inlineStr">
        <is>
          <t>SOURCES RULE</t>
        </is>
      </c>
      <c r="B9" t="inlineStr">
        <is>
          <t>No hand-maintained numbers: drivers from drivers.json, unit/edge/mvs values from the graph, rollups from SystemTree.aggregate.</t>
        </is>
      </c>
    </row>
    <row r="10">
      <c r="A10" s="1" t="inlineStr">
        <is>
          <t>FORMULAS</t>
        </is>
      </c>
      <c r="B10" t="inlineStr">
        <is>
          <t>Live Excel formulas where honest: per-sector SUBTOTAL kW (SUM), this sheet's DRIVERS/TREE counts (COUNTA), HEAT_LEDGER store balance (SUMIF). All other cells are values.</t>
        </is>
      </c>
    </row>
    <row r="11">
      <c r="A11" s="1" t="inlineStr">
        <is>
          <t>DATES</t>
        </is>
      </c>
      <c r="B11" t="inlineStr">
        <is>
          <t>No wall clock: workbook docProps dates are derived from the graph sha256 only, so the file is byte-stable across runs over the same graph.</t>
        </is>
      </c>
    </row>
    <row r="12">
      <c r="A12" s="1" t="inlineStr">
        <is>
          <t>NAMING NOTE</t>
        </is>
      </c>
      <c r="B12" t="inlineStr">
        <is>
          <t>The heat summary sheet is HEAT_LEDGER because the plain name HEAT is the HEAT sector sheet; ELECTRICAL does not collide (the sector is ELEC).</t>
        </is>
      </c>
    </row>
    <row r="14">
      <c r="A14" s="1" t="inlineStr">
        <is>
          <t>SHEET INDEX</t>
        </is>
      </c>
    </row>
    <row r="15">
      <c r="A15" s="3" t="inlineStr">
        <is>
          <t>sheet</t>
        </is>
      </c>
      <c r="B15" s="3" t="inlineStr">
        <is>
          <t>contents</t>
        </is>
      </c>
    </row>
    <row r="16">
      <c r="A16" t="inlineStr">
        <is>
          <t>README</t>
        </is>
      </c>
      <c r="B16" t="inlineStr">
        <is>
          <t>this provenance page</t>
        </is>
      </c>
    </row>
    <row r="17">
      <c r="A17" t="inlineStr">
        <is>
          <t>DRIVERS</t>
        </is>
      </c>
      <c r="B17" t="inlineStr">
        <is>
          <t>all 829 drivers.json keys sorted by dotted path; value/units/ref/register/needs_verification/verification_test + the tree-path split columns</t>
        </is>
      </c>
    </row>
    <row r="18">
      <c r="A18" t="inlineStr">
        <is>
          <t>TREE</t>
        </is>
      </c>
      <c r="B18" t="inlineStr">
        <is>
          <t>249 system-tree nodes: level, parent, type, unit counts, rolled-up kW (SystemTree.aggregate)</t>
        </is>
      </c>
    </row>
    <row r="19">
      <c r="A19" t="inlineStr">
        <is>
          <t>ELECTRICAL</t>
        </is>
      </c>
      <c r="B19" t="inlineStr">
        <is>
          <t>mvs.electrical block (need/target/PV/ZnBr2/rectifier) + the PV / storage / inverter chain read from the graph units</t>
        </is>
      </c>
    </row>
    <row r="20">
      <c r="A20" t="inlineStr">
        <is>
          <t>HEAT_LEDGER</t>
        </is>
      </c>
      <c r="B20" t="inlineStr">
        <is>
          <t>Q1-Q4 ledger: every thermal-layer kW edge, then the per-store in/out/net balance (SUMIF formulas)</t>
        </is>
      </c>
    </row>
    <row r="21">
      <c r="A21" t="inlineStr">
        <is>
          <t>DIGESTER</t>
        </is>
      </c>
      <c r="B21" t="inlineStr">
        <is>
          <t>sector sheet: units (continuous_kw, presence, class, enabled) + SUBTOTAL kW + every edge touching the sector</t>
        </is>
      </c>
    </row>
    <row r="22">
      <c r="A22" t="inlineStr">
        <is>
          <t>OIL</t>
        </is>
      </c>
      <c r="B22" t="inlineStr">
        <is>
          <t>sector sheet: units (continuous_kw, presence, class, enabled) + SUBTOTAL kW + every edge touching the sector</t>
        </is>
      </c>
    </row>
    <row r="23">
      <c r="A23" t="inlineStr">
        <is>
          <t>GLASS</t>
        </is>
      </c>
      <c r="B23" t="inlineStr">
        <is>
          <t>sector sheet: units (continuous_kw, presence, class, enabled) + SUBTOTAL kW + every edge touching the sector</t>
        </is>
      </c>
    </row>
    <row r="24">
      <c r="A24" t="inlineStr">
        <is>
          <t>POLYMERS</t>
        </is>
      </c>
      <c r="B24" t="inlineStr">
        <is>
          <t>sector sheet: units (continuous_kw, presence, class, enabled) + SUBTOTAL kW + every edge touching the sector</t>
        </is>
      </c>
    </row>
    <row r="25">
      <c r="A25" t="inlineStr">
        <is>
          <t>GAS</t>
        </is>
      </c>
      <c r="B25" t="inlineStr">
        <is>
          <t>sector sheet: units (continuous_kw, presence, class, enabled) + SUBTOTAL kW + every edge touching the sector</t>
        </is>
      </c>
    </row>
    <row r="26">
      <c r="A26" t="inlineStr">
        <is>
          <t>FAB</t>
        </is>
      </c>
      <c r="B26" t="inlineStr">
        <is>
          <t>sector sheet: units (continuous_kw, presence, class, enabled) + SUBTOTAL kW + every edge touching the sector</t>
        </is>
      </c>
    </row>
    <row r="27">
      <c r="A27" t="inlineStr">
        <is>
          <t>MFG</t>
        </is>
      </c>
      <c r="B27" t="inlineStr">
        <is>
          <t>sector sheet: units (continuous_kw, presence, class, enabled) + SUBTOTAL kW + every edge touching the sector</t>
        </is>
      </c>
    </row>
    <row r="28">
      <c r="A28" t="inlineStr">
        <is>
          <t>FOUNDRY</t>
        </is>
      </c>
      <c r="B28" t="inlineStr">
        <is>
          <t>sector sheet: units (continuous_kw, presence, class, enabled) + SUBTOTAL kW + every edge touching the sector</t>
        </is>
      </c>
    </row>
    <row r="29">
      <c r="A29" t="inlineStr">
        <is>
          <t>NUT</t>
        </is>
      </c>
      <c r="B29" t="inlineStr">
        <is>
          <t>sector sheet: units (continuous_kw, presence, class, enabled) + SUBTOTAL kW + every edge touching the sector</t>
        </is>
      </c>
    </row>
    <row r="30">
      <c r="A30" t="inlineStr">
        <is>
          <t>FARM</t>
        </is>
      </c>
      <c r="B30" t="inlineStr">
        <is>
          <t>sector sheet: units (continuous_kw, presence, class, enabled) + SUBTOTAL kW + every edge touching the sector</t>
        </is>
      </c>
    </row>
    <row r="31">
      <c r="A31" t="inlineStr">
        <is>
          <t>HAB</t>
        </is>
      </c>
      <c r="B31" t="inlineStr">
        <is>
          <t>sector sheet: units (continuous_kw, presence, class, enabled) + SUBTOTAL kW + every edge touching the sector</t>
        </is>
      </c>
    </row>
    <row r="32">
      <c r="A32" t="inlineStr">
        <is>
          <t>CRYO</t>
        </is>
      </c>
      <c r="B32" t="inlineStr">
        <is>
          <t>sector sheet: units (continuous_kw, presence, class, enabled) + SUBTOTAL kW + every edge touching the sector</t>
        </is>
      </c>
    </row>
    <row r="33">
      <c r="A33" t="inlineStr">
        <is>
          <t>WTR</t>
        </is>
      </c>
      <c r="B33" t="inlineStr">
        <is>
          <t>sector sheet: units (continuous_kw, presence, class, enabled) + SUBTOTAL kW + every edge touching the sector</t>
        </is>
      </c>
    </row>
    <row r="34">
      <c r="A34" t="inlineStr">
        <is>
          <t>ELEC</t>
        </is>
      </c>
      <c r="B34" t="inlineStr">
        <is>
          <t>sector sheet: units (continuous_kw, presence, class, enabled) + SUBTOTAL kW + every edge touching the sector</t>
        </is>
      </c>
    </row>
    <row r="35">
      <c r="A35" t="inlineStr">
        <is>
          <t>HEAT</t>
        </is>
      </c>
      <c r="B35" t="inlineStr">
        <is>
          <t>sector sheet: units (continuous_kw, presence, class, enabled) + SUBTOTAL kW + every edge touching the sector</t>
        </is>
      </c>
    </row>
    <row r="36">
      <c r="A36" t="inlineStr">
        <is>
          <t>MEOH</t>
        </is>
      </c>
      <c r="B36" t="inlineStr">
        <is>
          <t>sector sheet: units (continuous_kw, presence, class, enabled) + SUBTOTAL kW + every edge touching the sector</t>
        </is>
      </c>
    </row>
    <row r="37">
      <c r="A37" t="inlineStr">
        <is>
          <t>PUMPED_HYDRO</t>
        </is>
      </c>
      <c r="B37" t="inlineStr">
        <is>
          <t>sector sheet: units (continuous_kw, presence, class, enabled) + SUBTOTAL kW + every edge touching the sector</t>
        </is>
      </c>
    </row>
    <row r="38">
      <c r="A38" t="inlineStr">
        <is>
          <t>GEO</t>
        </is>
      </c>
      <c r="B38" t="inlineStr">
        <is>
          <t>sector sheet: units (continuous_kw, presence, class, enabled) + SUBTOTAL kW + every edge touching the sector</t>
        </is>
      </c>
    </row>
    <row r="39">
      <c r="A39" t="inlineStr">
        <is>
          <t>DOCK</t>
        </is>
      </c>
      <c r="B39" t="inlineStr">
        <is>
          <t>sector sheet: units (continuous_kw, presence, class, enabled) + SUBTOTAL kW + every edge touching the sector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2" customWidth="1" min="2" max="2"/>
    <col width="20" customWidth="1" min="3" max="3"/>
    <col width="26" customWidth="1" min="4" max="4"/>
    <col width="30" customWidth="1" min="5" max="5"/>
    <col width="18" customWidth="1" min="6" max="6"/>
    <col width="46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3" t="inlineStr">
        <is>
          <t>key</t>
        </is>
      </c>
      <c r="B1" s="3" t="inlineStr">
        <is>
          <t>value</t>
        </is>
      </c>
      <c r="C1" s="3" t="inlineStr">
        <is>
          <t>units</t>
        </is>
      </c>
      <c r="D1" s="3" t="inlineStr">
        <is>
          <t>ref</t>
        </is>
      </c>
      <c r="E1" s="3" t="inlineStr">
        <is>
          <t>register</t>
        </is>
      </c>
      <c r="F1" s="3" t="inlineStr">
        <is>
          <t>needs_verification</t>
        </is>
      </c>
      <c r="G1" s="3" t="inlineStr">
        <is>
          <t>verification_test</t>
        </is>
      </c>
      <c r="H1" s="3" t="inlineStr">
        <is>
          <t>tree_1</t>
        </is>
      </c>
      <c r="I1" s="3" t="inlineStr">
        <is>
          <t>tree_2</t>
        </is>
      </c>
      <c r="J1" s="3" t="inlineStr">
        <is>
          <t>tree_3</t>
        </is>
      </c>
      <c r="K1" s="3" t="inlineStr">
        <is>
          <t>tree_4</t>
        </is>
      </c>
      <c r="L1" s="3" t="inlineStr">
        <is>
          <t>tree_5</t>
        </is>
      </c>
    </row>
    <row r="2">
      <c r="A2" t="inlineStr">
        <is>
          <t>CRYO.cold-box-asu-recovery-train.CRYO_CO2_store_P_bar</t>
        </is>
      </c>
      <c r="B2" s="4" t="n">
        <v>20</v>
      </c>
      <c r="C2" t="inlineStr">
        <is>
          <t>bar a</t>
        </is>
      </c>
      <c r="E2" t="inlineStr">
        <is>
          <t>A-M-134</t>
        </is>
      </c>
      <c r="H2" t="inlineStr">
        <is>
          <t>CRYO</t>
        </is>
      </c>
      <c r="I2" t="inlineStr">
        <is>
          <t>cold-box-asu-recovery-train</t>
        </is>
      </c>
      <c r="J2" t="inlineStr">
        <is>
          <t>CRYO_CO2_store_P_bar</t>
        </is>
      </c>
    </row>
    <row r="3">
      <c r="A3" t="inlineStr">
        <is>
          <t>CRYO.cold-box-asu-recovery-train.CRYO_CO2_store_T_K</t>
        </is>
      </c>
      <c r="B3" s="4" t="n">
        <v>253.15</v>
      </c>
      <c r="C3" t="inlineStr">
        <is>
          <t>K</t>
        </is>
      </c>
      <c r="E3" t="inlineStr">
        <is>
          <t>A-M-134</t>
        </is>
      </c>
      <c r="H3" t="inlineStr">
        <is>
          <t>CRYO</t>
        </is>
      </c>
      <c r="I3" t="inlineStr">
        <is>
          <t>cold-box-asu-recovery-train</t>
        </is>
      </c>
      <c r="J3" t="inlineStr">
        <is>
          <t>CRYO_CO2_store_T_K</t>
        </is>
      </c>
    </row>
    <row r="4">
      <c r="A4" t="inlineStr">
        <is>
          <t>CRYO.cold-box-asu-recovery-train.CRYO_H2_store_P_bar</t>
        </is>
      </c>
      <c r="B4" s="4" t="n">
        <v>200</v>
      </c>
      <c r="C4" t="inlineStr">
        <is>
          <t>bar a</t>
        </is>
      </c>
      <c r="E4" t="inlineStr">
        <is>
          <t>A-M-133</t>
        </is>
      </c>
      <c r="H4" t="inlineStr">
        <is>
          <t>CRYO</t>
        </is>
      </c>
      <c r="I4" t="inlineStr">
        <is>
          <t>cold-box-asu-recovery-train</t>
        </is>
      </c>
      <c r="J4" t="inlineStr">
        <is>
          <t>CRYO_H2_store_P_bar</t>
        </is>
      </c>
    </row>
    <row r="5">
      <c r="A5" t="inlineStr">
        <is>
          <t>CRYO.cold-box-asu-recovery-train.CRYO_H2_store_T_K</t>
        </is>
      </c>
      <c r="B5" s="4" t="n">
        <v>313.15</v>
      </c>
      <c r="C5" t="inlineStr">
        <is>
          <t>K</t>
        </is>
      </c>
      <c r="E5" t="inlineStr">
        <is>
          <t>A-M-133</t>
        </is>
      </c>
      <c r="H5" t="inlineStr">
        <is>
          <t>CRYO</t>
        </is>
      </c>
      <c r="I5" t="inlineStr">
        <is>
          <t>cold-box-asu-recovery-train</t>
        </is>
      </c>
      <c r="J5" t="inlineStr">
        <is>
          <t>CRYO_H2_store_T_K</t>
        </is>
      </c>
    </row>
    <row r="6">
      <c r="A6" t="inlineStr">
        <is>
          <t>CRYO.cold-box-asu-recovery-train.CRYO_O2_store_P_bar</t>
        </is>
      </c>
      <c r="B6" s="4" t="n">
        <v>200</v>
      </c>
      <c r="C6" t="inlineStr">
        <is>
          <t>bar a</t>
        </is>
      </c>
      <c r="E6" t="inlineStr">
        <is>
          <t>A-M-133</t>
        </is>
      </c>
      <c r="H6" t="inlineStr">
        <is>
          <t>CRYO</t>
        </is>
      </c>
      <c r="I6" t="inlineStr">
        <is>
          <t>cold-box-asu-recovery-train</t>
        </is>
      </c>
      <c r="J6" t="inlineStr">
        <is>
          <t>CRYO_O2_store_P_bar</t>
        </is>
      </c>
    </row>
    <row r="7">
      <c r="A7" t="inlineStr">
        <is>
          <t>CRYO.cold-box-asu-recovery-train.CRYO_O2_store_T_K</t>
        </is>
      </c>
      <c r="B7" s="4" t="n">
        <v>313.15</v>
      </c>
      <c r="C7" t="inlineStr">
        <is>
          <t>K</t>
        </is>
      </c>
      <c r="E7" t="inlineStr">
        <is>
          <t>A-M-133</t>
        </is>
      </c>
      <c r="H7" t="inlineStr">
        <is>
          <t>CRYO</t>
        </is>
      </c>
      <c r="I7" t="inlineStr">
        <is>
          <t>cold-box-asu-recovery-train</t>
        </is>
      </c>
      <c r="J7" t="inlineStr">
        <is>
          <t>CRYO_O2_store_T_K</t>
        </is>
      </c>
    </row>
    <row r="8">
      <c r="A8" t="inlineStr">
        <is>
          <t>CRYO.cold-box-asu-recovery-train.cold-box.AIR_RECEIVER.P_MPa</t>
        </is>
      </c>
      <c r="B8" s="4" t="n">
        <v>1</v>
      </c>
      <c r="C8" t="inlineStr">
        <is>
          <t>MPa gauge design pressure (plant-air receiver, 10 bar service)</t>
        </is>
      </c>
      <c r="E8" t="inlineStr">
        <is>
          <t>A-M-270</t>
        </is>
      </c>
      <c r="H8" t="inlineStr">
        <is>
          <t>CRYO</t>
        </is>
      </c>
      <c r="I8" t="inlineStr">
        <is>
          <t>cold-box-asu-recovery-train</t>
        </is>
      </c>
      <c r="J8" t="inlineStr">
        <is>
          <t>cold-box</t>
        </is>
      </c>
      <c r="K8" t="inlineStr">
        <is>
          <t>AIR_RECEIVER</t>
        </is>
      </c>
      <c r="L8" t="inlineStr">
        <is>
          <t>P_MPa</t>
        </is>
      </c>
    </row>
    <row r="9">
      <c r="A9" t="inlineStr">
        <is>
          <t>CRYO.cold-box-asu-recovery-train.cold-box.AIR_RECEIVER.hold_d</t>
        </is>
      </c>
      <c r="B9" s="4" t="n">
        <v>1</v>
      </c>
      <c r="C9" t="inlineStr">
        <is>
          <t>d hold time (A-M-270 D-DOCK product-buffer basis)</t>
        </is>
      </c>
      <c r="E9" t="inlineStr">
        <is>
          <t>A-M-270</t>
        </is>
      </c>
      <c r="H9" t="inlineStr">
        <is>
          <t>CRYO</t>
        </is>
      </c>
      <c r="I9" t="inlineStr">
        <is>
          <t>cold-box-asu-recovery-train</t>
        </is>
      </c>
      <c r="J9" t="inlineStr">
        <is>
          <t>cold-box</t>
        </is>
      </c>
      <c r="K9" t="inlineStr">
        <is>
          <t>AIR_RECEIVER</t>
        </is>
      </c>
      <c r="L9" t="inlineStr">
        <is>
          <t>hold_d</t>
        </is>
      </c>
    </row>
    <row r="10">
      <c r="A10" t="inlineStr">
        <is>
          <t>CRYO.cold-box-asu-recovery-train.cold-box.AIR_RECEIVER.rho_kg_m3</t>
        </is>
      </c>
      <c r="B10" s="4" t="n">
        <v>11.7</v>
      </c>
      <c r="C10" t="inlineStr">
        <is>
          <t>kg/m3 N2 at 10 bar abs 15 C (ideal gas, Z 0.995, NIST_WEBBOOK)</t>
        </is>
      </c>
      <c r="D10" t="inlineStr">
        <is>
          <t>NIST_WEBBOOK</t>
        </is>
      </c>
      <c r="H10" t="inlineStr">
        <is>
          <t>CRYO</t>
        </is>
      </c>
      <c r="I10" t="inlineStr">
        <is>
          <t>cold-box-asu-recovery-train</t>
        </is>
      </c>
      <c r="J10" t="inlineStr">
        <is>
          <t>cold-box</t>
        </is>
      </c>
      <c r="K10" t="inlineStr">
        <is>
          <t>AIR_RECEIVER</t>
        </is>
      </c>
      <c r="L10" t="inlineStr">
        <is>
          <t>rho_kg_m3</t>
        </is>
      </c>
    </row>
    <row r="11">
      <c r="A11" t="inlineStr">
        <is>
          <t>CRYO.cold-box-asu-recovery-train.cold-box.CRYO_ASU.bed_LD</t>
        </is>
      </c>
      <c r="B11" s="4" t="n">
        <v>3</v>
      </c>
      <c r="C11" t="inlineStr">
        <is>
          <t>m/m adsorbent bed length over diameter</t>
        </is>
      </c>
      <c r="E11" t="inlineStr">
        <is>
          <t>A-M-175</t>
        </is>
      </c>
      <c r="H11" t="inlineStr">
        <is>
          <t>CRYO</t>
        </is>
      </c>
      <c r="I11" t="inlineStr">
        <is>
          <t>cold-box-asu-recovery-train</t>
        </is>
      </c>
      <c r="J11" t="inlineStr">
        <is>
          <t>cold-box</t>
        </is>
      </c>
      <c r="K11" t="inlineStr">
        <is>
          <t>CRYO_ASU</t>
        </is>
      </c>
      <c r="L11" t="inlineStr">
        <is>
          <t>bed_LD</t>
        </is>
      </c>
    </row>
    <row r="12">
      <c r="A12" t="inlineStr">
        <is>
          <t>CRYO.cold-box-asu-recovery-train.cold-box.CRYO_ASU.blower_eta</t>
        </is>
      </c>
      <c r="B12" s="4" t="n">
        <v>0.5</v>
      </c>
      <c r="C12" t="inlineStr">
        <is>
          <t>- feed blower efficiency</t>
        </is>
      </c>
      <c r="E12" t="inlineStr">
        <is>
          <t>A-M-175</t>
        </is>
      </c>
      <c r="H12" t="inlineStr">
        <is>
          <t>CRYO</t>
        </is>
      </c>
      <c r="I12" t="inlineStr">
        <is>
          <t>cold-box-asu-recovery-train</t>
        </is>
      </c>
      <c r="J12" t="inlineStr">
        <is>
          <t>cold-box</t>
        </is>
      </c>
      <c r="K12" t="inlineStr">
        <is>
          <t>CRYO_ASU</t>
        </is>
      </c>
      <c r="L12" t="inlineStr">
        <is>
          <t>blower_eta</t>
        </is>
      </c>
    </row>
    <row r="13">
      <c r="A13" t="inlineStr">
        <is>
          <t>CRYO.cold-box-asu-recovery-train.cold-box.CRYO_ASU.co2_k</t>
        </is>
      </c>
      <c r="B13" s="4" t="n">
        <v>1.29</v>
      </c>
      <c r="C13" t="inlineStr">
        <is>
          <t>- CO2 isentropic exponent</t>
        </is>
      </c>
      <c r="E13" t="inlineStr">
        <is>
          <t>A-M-175</t>
        </is>
      </c>
      <c r="H13" t="inlineStr">
        <is>
          <t>CRYO</t>
        </is>
      </c>
      <c r="I13" t="inlineStr">
        <is>
          <t>cold-box-asu-recovery-train</t>
        </is>
      </c>
      <c r="J13" t="inlineStr">
        <is>
          <t>cold-box</t>
        </is>
      </c>
      <c r="K13" t="inlineStr">
        <is>
          <t>CRYO_ASU</t>
        </is>
      </c>
      <c r="L13" t="inlineStr">
        <is>
          <t>co2_k</t>
        </is>
      </c>
    </row>
    <row r="14">
      <c r="A14" t="inlineStr">
        <is>
          <t>CRYO.cold-box-asu-recovery-train.cold-box.CRYO_ASU.co2_liq_cp_kJ_kgK</t>
        </is>
      </c>
      <c r="B14" s="4" t="n">
        <v>0.85</v>
      </c>
      <c r="C14" t="inlineStr">
        <is>
          <t>kJ/(kg K) liquid CO2 cp</t>
        </is>
      </c>
      <c r="E14" t="inlineStr">
        <is>
          <t>A-M-175</t>
        </is>
      </c>
      <c r="H14" t="inlineStr">
        <is>
          <t>CRYO</t>
        </is>
      </c>
      <c r="I14" t="inlineStr">
        <is>
          <t>cold-box-asu-recovery-train</t>
        </is>
      </c>
      <c r="J14" t="inlineStr">
        <is>
          <t>cold-box</t>
        </is>
      </c>
      <c r="K14" t="inlineStr">
        <is>
          <t>CRYO_ASU</t>
        </is>
      </c>
      <c r="L14" t="inlineStr">
        <is>
          <t>co2_liq_cp_kJ_kgK</t>
        </is>
      </c>
    </row>
    <row r="15">
      <c r="A15" t="inlineStr">
        <is>
          <t>CRYO.cold-box-asu-recovery-train.cold-box.CRYO_ASU.co2_subcool_K</t>
        </is>
      </c>
      <c r="B15" s="4" t="n">
        <v>55</v>
      </c>
      <c r="C15" t="inlineStr">
        <is>
          <t>K liquid CO2 subcooling to the store</t>
        </is>
      </c>
      <c r="E15" t="inlineStr">
        <is>
          <t>A-M-175</t>
        </is>
      </c>
      <c r="H15" t="inlineStr">
        <is>
          <t>CRYO</t>
        </is>
      </c>
      <c r="I15" t="inlineStr">
        <is>
          <t>cold-box-asu-recovery-train</t>
        </is>
      </c>
      <c r="J15" t="inlineStr">
        <is>
          <t>cold-box</t>
        </is>
      </c>
      <c r="K15" t="inlineStr">
        <is>
          <t>CRYO_ASU</t>
        </is>
      </c>
      <c r="L15" t="inlineStr">
        <is>
          <t>co2_subcool_K</t>
        </is>
      </c>
    </row>
    <row r="16">
      <c r="A16" t="inlineStr">
        <is>
          <t>CRYO.cold-box-asu-recovery-train.cold-box.CRYO_ASU.comp_eta</t>
        </is>
      </c>
      <c r="B16" s="4" t="n">
        <v>0.65</v>
      </c>
      <c r="C16" t="inlineStr">
        <is>
          <t>- CO2 compressor adiabatic efficiency</t>
        </is>
      </c>
      <c r="E16" t="inlineStr">
        <is>
          <t>A-M-175</t>
        </is>
      </c>
      <c r="H16" t="inlineStr">
        <is>
          <t>CRYO</t>
        </is>
      </c>
      <c r="I16" t="inlineStr">
        <is>
          <t>cold-box-asu-recovery-train</t>
        </is>
      </c>
      <c r="J16" t="inlineStr">
        <is>
          <t>cold-box</t>
        </is>
      </c>
      <c r="K16" t="inlineStr">
        <is>
          <t>CRYO_ASU</t>
        </is>
      </c>
      <c r="L16" t="inlineStr">
        <is>
          <t>comp_eta</t>
        </is>
      </c>
    </row>
    <row r="17">
      <c r="A17" t="inlineStr">
        <is>
          <t>CRYO.cold-box-asu-recovery-train.cold-box.CRYO_ASU.exp_n2_cp_kJ_kgK</t>
        </is>
      </c>
      <c r="B17" s="4" t="n">
        <v>1.04</v>
      </c>
      <c r="C17" t="inlineStr">
        <is>
          <t>kJ/(kg K) N2 cp (PERRY9 sec. 2)</t>
        </is>
      </c>
      <c r="E17" t="inlineStr">
        <is>
          <t>A-M-186</t>
        </is>
      </c>
      <c r="H17" t="inlineStr">
        <is>
          <t>CRYO</t>
        </is>
      </c>
      <c r="I17" t="inlineStr">
        <is>
          <t>cold-box-asu-recovery-train</t>
        </is>
      </c>
      <c r="J17" t="inlineStr">
        <is>
          <t>cold-box</t>
        </is>
      </c>
      <c r="K17" t="inlineStr">
        <is>
          <t>CRYO_ASU</t>
        </is>
      </c>
      <c r="L17" t="inlineStr">
        <is>
          <t>exp_n2_cp_kJ_kgK</t>
        </is>
      </c>
    </row>
    <row r="18">
      <c r="A18" t="inlineStr">
        <is>
          <t>CRYO.cold-box-asu-recovery-train.cold-box.CRYO_ASU.exp_n2_k</t>
        </is>
      </c>
      <c r="B18" s="4" t="n">
        <v>1.4</v>
      </c>
      <c r="C18" t="inlineStr">
        <is>
          <t>- N2 isentropic exponent (reverse-Brayton backup loop)</t>
        </is>
      </c>
      <c r="E18" t="inlineStr">
        <is>
          <t>A-M-186 (EXPANDER kept as chiller backup, Q-010)</t>
        </is>
      </c>
      <c r="H18" t="inlineStr">
        <is>
          <t>CRYO</t>
        </is>
      </c>
      <c r="I18" t="inlineStr">
        <is>
          <t>cold-box-asu-recovery-train</t>
        </is>
      </c>
      <c r="J18" t="inlineStr">
        <is>
          <t>cold-box</t>
        </is>
      </c>
      <c r="K18" t="inlineStr">
        <is>
          <t>CRYO_ASU</t>
        </is>
      </c>
      <c r="L18" t="inlineStr">
        <is>
          <t>exp_n2_k</t>
        </is>
      </c>
    </row>
    <row r="19">
      <c r="A19" t="inlineStr">
        <is>
          <t>CRYO.cold-box-asu-recovery-train.cold-box.CRYO_ASU.exp_warm_T_K</t>
        </is>
      </c>
      <c r="B19" s="4" t="n">
        <v>248.15</v>
      </c>
      <c r="C19" t="inlineStr">
        <is>
          <t>K N2 warms to at the condenser (-25 C)</t>
        </is>
      </c>
      <c r="E19" t="inlineStr">
        <is>
          <t>A-M-186</t>
        </is>
      </c>
      <c r="H19" t="inlineStr">
        <is>
          <t>CRYO</t>
        </is>
      </c>
      <c r="I19" t="inlineStr">
        <is>
          <t>cold-box-asu-recovery-train</t>
        </is>
      </c>
      <c r="J19" t="inlineStr">
        <is>
          <t>cold-box</t>
        </is>
      </c>
      <c r="K19" t="inlineStr">
        <is>
          <t>CRYO_ASU</t>
        </is>
      </c>
      <c r="L19" t="inlineStr">
        <is>
          <t>exp_warm_T_K</t>
        </is>
      </c>
    </row>
    <row r="20">
      <c r="A20" t="inlineStr">
        <is>
          <t>CRYO.cold-box-asu-recovery-train.cold-box.CRYO_ASU.feed_T_K</t>
        </is>
      </c>
      <c r="B20" s="4" t="n">
        <v>308.15</v>
      </c>
      <c r="C20" t="inlineStr">
        <is>
          <t>K feed temperature (35 C)</t>
        </is>
      </c>
      <c r="E20" t="inlineStr">
        <is>
          <t>A-M-175</t>
        </is>
      </c>
      <c r="H20" t="inlineStr">
        <is>
          <t>CRYO</t>
        </is>
      </c>
      <c r="I20" t="inlineStr">
        <is>
          <t>cold-box-asu-recovery-train</t>
        </is>
      </c>
      <c r="J20" t="inlineStr">
        <is>
          <t>cold-box</t>
        </is>
      </c>
      <c r="K20" t="inlineStr">
        <is>
          <t>CRYO_ASU</t>
        </is>
      </c>
      <c r="L20" t="inlineStr">
        <is>
          <t>feed_T_K</t>
        </is>
      </c>
    </row>
    <row r="21">
      <c r="A21" t="inlineStr">
        <is>
          <t>CRYO.cold-box-asu-recovery-train.cold-box.CRYO_ASU.motor_eta</t>
        </is>
      </c>
      <c r="B21" s="4" t="n">
        <v>0.9</v>
      </c>
      <c r="C21" t="inlineStr">
        <is>
          <t>- CO2 compressor motor efficiency</t>
        </is>
      </c>
      <c r="E21" t="inlineStr">
        <is>
          <t>A-M-175</t>
        </is>
      </c>
      <c r="H21" t="inlineStr">
        <is>
          <t>CRYO</t>
        </is>
      </c>
      <c r="I21" t="inlineStr">
        <is>
          <t>cold-box-asu-recovery-train</t>
        </is>
      </c>
      <c r="J21" t="inlineStr">
        <is>
          <t>cold-box</t>
        </is>
      </c>
      <c r="K21" t="inlineStr">
        <is>
          <t>CRYO_ASU</t>
        </is>
      </c>
      <c r="L21" t="inlineStr">
        <is>
          <t>motor_eta</t>
        </is>
      </c>
    </row>
    <row r="22">
      <c r="A22" t="inlineStr">
        <is>
          <t>CRYO.cold-box-asu-recovery-train.cold-box.CRYO_ASU.sorbent_bulk_rho_kg_m3</t>
        </is>
      </c>
      <c r="B22" s="4" t="n">
        <v>650</v>
      </c>
      <c r="C22" t="inlineStr">
        <is>
          <t>kg/m3 13X bulk density</t>
        </is>
      </c>
      <c r="E22" t="inlineStr">
        <is>
          <t>A-M-175</t>
        </is>
      </c>
      <c r="H22" t="inlineStr">
        <is>
          <t>CRYO</t>
        </is>
      </c>
      <c r="I22" t="inlineStr">
        <is>
          <t>cold-box-asu-recovery-train</t>
        </is>
      </c>
      <c r="J22" t="inlineStr">
        <is>
          <t>cold-box</t>
        </is>
      </c>
      <c r="K22" t="inlineStr">
        <is>
          <t>CRYO_ASU</t>
        </is>
      </c>
      <c r="L22" t="inlineStr">
        <is>
          <t>sorbent_bulk_rho_kg_m3</t>
        </is>
      </c>
    </row>
    <row r="23">
      <c r="A23" t="inlineStr">
        <is>
          <t>CRYO.cold-box-asu-recovery-train.cold-box.CRYO_ASU.steel_cp_kJ_kgK</t>
        </is>
      </c>
      <c r="B23" s="4" t="n">
        <v>0.5</v>
      </c>
      <c r="C23" t="inlineStr">
        <is>
          <t>kJ/(kg K) bed shell steel cp</t>
        </is>
      </c>
      <c r="E23" t="inlineStr">
        <is>
          <t>A-M-175</t>
        </is>
      </c>
      <c r="H23" t="inlineStr">
        <is>
          <t>CRYO</t>
        </is>
      </c>
      <c r="I23" t="inlineStr">
        <is>
          <t>cold-box-asu-recovery-train</t>
        </is>
      </c>
      <c r="J23" t="inlineStr">
        <is>
          <t>cold-box</t>
        </is>
      </c>
      <c r="K23" t="inlineStr">
        <is>
          <t>CRYO_ASU</t>
        </is>
      </c>
      <c r="L23" t="inlineStr">
        <is>
          <t>steel_cp_kJ_kgK</t>
        </is>
      </c>
    </row>
    <row r="24">
      <c r="A24" t="inlineStr">
        <is>
          <t>CRYO.cold-box-asu-recovery-train.cold-box.CRYO_ASU.tsa_regen_start_C</t>
        </is>
      </c>
      <c r="B24" s="4" t="n">
        <v>25</v>
      </c>
      <c r="C24" t="inlineStr">
        <is>
          <t>C bed temperature at the start of regeneration</t>
        </is>
      </c>
      <c r="E24" t="inlineStr">
        <is>
          <t>A-M-175</t>
        </is>
      </c>
      <c r="H24" t="inlineStr">
        <is>
          <t>CRYO</t>
        </is>
      </c>
      <c r="I24" t="inlineStr">
        <is>
          <t>cold-box-asu-recovery-train</t>
        </is>
      </c>
      <c r="J24" t="inlineStr">
        <is>
          <t>cold-box</t>
        </is>
      </c>
      <c r="K24" t="inlineStr">
        <is>
          <t>CRYO_ASU</t>
        </is>
      </c>
      <c r="L24" t="inlineStr">
        <is>
          <t>tsa_regen_start_C</t>
        </is>
      </c>
    </row>
    <row r="25">
      <c r="A25" t="inlineStr">
        <is>
          <t>CRYO.cold-box-asu-recovery-train.cold-box.CRYO_H2.h2c_T_suction_K</t>
        </is>
      </c>
      <c r="B25" s="4" t="n">
        <v>308.15</v>
      </c>
      <c r="C25" t="inlineStr">
        <is>
          <t>K stage suction and intercooler outlet temperature (35 C)</t>
        </is>
      </c>
      <c r="E25" t="inlineStr">
        <is>
          <t>A-M-169 (X-MFG-36, intercooled to 35 C after every stage)</t>
        </is>
      </c>
      <c r="H25" t="inlineStr">
        <is>
          <t>CRYO</t>
        </is>
      </c>
      <c r="I25" t="inlineStr">
        <is>
          <t>cold-box-asu-recovery-train</t>
        </is>
      </c>
      <c r="J25" t="inlineStr">
        <is>
          <t>cold-box</t>
        </is>
      </c>
      <c r="K25" t="inlineStr">
        <is>
          <t>CRYO_H2</t>
        </is>
      </c>
      <c r="L25" t="inlineStr">
        <is>
          <t>h2c_T_suction_K</t>
        </is>
      </c>
    </row>
    <row r="26">
      <c r="A26" t="inlineStr">
        <is>
          <t>CRYO.cold-box-asu-recovery-train.cold-box.CRYO_H2.h2c_units</t>
        </is>
      </c>
      <c r="B26" s="4" t="n">
        <v>2</v>
      </c>
      <c r="C26" t="inlineStr">
        <is>
          <t>- installed compressors, one standby (redundancy rule)</t>
        </is>
      </c>
      <c r="E26" t="inlineStr">
        <is>
          <t>A-M-169 (X-MFG-36)</t>
        </is>
      </c>
      <c r="H26" t="inlineStr">
        <is>
          <t>CRYO</t>
        </is>
      </c>
      <c r="I26" t="inlineStr">
        <is>
          <t>cold-box-asu-recovery-train</t>
        </is>
      </c>
      <c r="J26" t="inlineStr">
        <is>
          <t>cold-box</t>
        </is>
      </c>
      <c r="K26" t="inlineStr">
        <is>
          <t>CRYO_H2</t>
        </is>
      </c>
      <c r="L26" t="inlineStr">
        <is>
          <t>h2c_units</t>
        </is>
      </c>
    </row>
    <row r="27">
      <c r="A27" t="inlineStr">
        <is>
          <t>CRYO.cold-box-asu-recovery-train.cold-box.CRYO_H2.store_T_K</t>
        </is>
      </c>
      <c r="B27" s="4" t="n">
        <v>288.15</v>
      </c>
      <c r="C27" t="inlineStr">
        <is>
          <t>K store reference temperature (15 C)</t>
        </is>
      </c>
      <c r="E27" t="inlineStr">
        <is>
          <t>A-M-133</t>
        </is>
      </c>
      <c r="H27" t="inlineStr">
        <is>
          <t>CRYO</t>
        </is>
      </c>
      <c r="I27" t="inlineStr">
        <is>
          <t>cold-box-asu-recovery-train</t>
        </is>
      </c>
      <c r="J27" t="inlineStr">
        <is>
          <t>cold-box</t>
        </is>
      </c>
      <c r="K27" t="inlineStr">
        <is>
          <t>CRYO_H2</t>
        </is>
      </c>
      <c r="L27" t="inlineStr">
        <is>
          <t>store_T_K</t>
        </is>
      </c>
    </row>
    <row r="28">
      <c r="A28" t="inlineStr">
        <is>
          <t>CRYO.cold-box-asu-recovery-train.cold-box.CRYO_H2.store_pressure_Pa</t>
        </is>
      </c>
      <c r="B28" s="4" t="n">
        <v>20000000</v>
      </c>
      <c r="C28" t="inlineStr">
        <is>
          <t>Pa gauge store pressure (200 bar)</t>
        </is>
      </c>
      <c r="E28" t="inlineStr">
        <is>
          <t>A-M-133 (existing 200 bar basis)</t>
        </is>
      </c>
      <c r="H28" t="inlineStr">
        <is>
          <t>CRYO</t>
        </is>
      </c>
      <c r="I28" t="inlineStr">
        <is>
          <t>cold-box-asu-recovery-train</t>
        </is>
      </c>
      <c r="J28" t="inlineStr">
        <is>
          <t>cold-box</t>
        </is>
      </c>
      <c r="K28" t="inlineStr">
        <is>
          <t>CRYO_H2</t>
        </is>
      </c>
      <c r="L28" t="inlineStr">
        <is>
          <t>store_pressure_Pa</t>
        </is>
      </c>
    </row>
    <row r="29">
      <c r="A29" t="inlineStr">
        <is>
          <t>CRYO.cold-box-asu-recovery-train.cold-box.CRYO_H2.z_h2_200bar_15C</t>
        </is>
      </c>
      <c r="B29" s="4" t="n">
        <v>1.13</v>
      </c>
      <c r="C29" t="inlineStr">
        <is>
          <t>- H2 compressibility factor at 200 bar, 15 C</t>
        </is>
      </c>
      <c r="D29" t="inlineStr">
        <is>
          <t>NIST_WEBBOOK</t>
        </is>
      </c>
      <c r="F29" t="b">
        <v>1</v>
      </c>
      <c r="G29" t="inlineStr">
        <is>
          <t>NIST isothermal pVT data check: H2 Z at 200 bar and 15 C (flagged verify in A-M-133)</t>
        </is>
      </c>
      <c r="H29" t="inlineStr">
        <is>
          <t>CRYO</t>
        </is>
      </c>
      <c r="I29" t="inlineStr">
        <is>
          <t>cold-box-asu-recovery-train</t>
        </is>
      </c>
      <c r="J29" t="inlineStr">
        <is>
          <t>cold-box</t>
        </is>
      </c>
      <c r="K29" t="inlineStr">
        <is>
          <t>CRYO_H2</t>
        </is>
      </c>
      <c r="L29" t="inlineStr">
        <is>
          <t>z_h2_200bar_15C</t>
        </is>
      </c>
    </row>
    <row r="30">
      <c r="A30" t="inlineStr">
        <is>
          <t>CRYO.cold-box-asu-recovery-train.cold-box.CRYO_H2.z_o2_200bar_15C</t>
        </is>
      </c>
      <c r="B30" s="4" t="n">
        <v>0.93</v>
      </c>
      <c r="C30" t="inlineStr">
        <is>
          <t>- O2 compressibility factor at 200 bar, 15 C</t>
        </is>
      </c>
      <c r="D30" t="inlineStr">
        <is>
          <t>NIST_WEBBOOK</t>
        </is>
      </c>
      <c r="F30" t="b">
        <v>1</v>
      </c>
      <c r="G30" t="inlineStr">
        <is>
          <t>NIST isothermal pVT data check: O2 Z at 200 bar and 15 C (flagged verify in A-M-133)</t>
        </is>
      </c>
      <c r="H30" t="inlineStr">
        <is>
          <t>CRYO</t>
        </is>
      </c>
      <c r="I30" t="inlineStr">
        <is>
          <t>cold-box-asu-recovery-train</t>
        </is>
      </c>
      <c r="J30" t="inlineStr">
        <is>
          <t>cold-box</t>
        </is>
      </c>
      <c r="K30" t="inlineStr">
        <is>
          <t>CRYO_H2</t>
        </is>
      </c>
      <c r="L30" t="inlineStr">
        <is>
          <t>z_o2_200bar_15C</t>
        </is>
      </c>
    </row>
    <row r="31">
      <c r="A31" t="inlineStr">
        <is>
          <t>CRYO.cold-box-asu-recovery-train.cold-box.rcv_T_amb_C</t>
        </is>
      </c>
      <c r="B31" s="4" t="n">
        <v>25</v>
      </c>
      <c r="C31" t="inlineStr">
        <is>
          <t>C receiver storage temperature on the design stamp</t>
        </is>
      </c>
      <c r="E31" t="inlineStr">
        <is>
          <t>A-M-167</t>
        </is>
      </c>
      <c r="H31" t="inlineStr">
        <is>
          <t>CRYO</t>
        </is>
      </c>
      <c r="I31" t="inlineStr">
        <is>
          <t>cold-box-asu-recovery-train</t>
        </is>
      </c>
      <c r="J31" t="inlineStr">
        <is>
          <t>cold-box</t>
        </is>
      </c>
      <c r="K31" t="inlineStr">
        <is>
          <t>rcv_T_amb_C</t>
        </is>
      </c>
    </row>
    <row r="32">
      <c r="A32" t="inlineStr">
        <is>
          <t>CRYO.cold-box-asu-recovery-train.cold-box.rcv_design_kPa_co2</t>
        </is>
      </c>
      <c r="B32" s="4" t="n">
        <v>2200</v>
      </c>
      <c r="C32" t="inlineStr">
        <is>
          <t>kPa g design basis, CRYO_CO2 liquid store</t>
        </is>
      </c>
      <c r="E32" t="inlineStr">
        <is>
          <t>A-M-180 (X-SAF-04)</t>
        </is>
      </c>
      <c r="H32" t="inlineStr">
        <is>
          <t>CRYO</t>
        </is>
      </c>
      <c r="I32" t="inlineStr">
        <is>
          <t>cold-box-asu-recovery-train</t>
        </is>
      </c>
      <c r="J32" t="inlineStr">
        <is>
          <t>cold-box</t>
        </is>
      </c>
      <c r="K32" t="inlineStr">
        <is>
          <t>rcv_design_kPa_co2</t>
        </is>
      </c>
    </row>
    <row r="33">
      <c r="A33" t="inlineStr">
        <is>
          <t>CRYO.cold-box-asu-recovery-train.cold-box.rcv_design_kPa_hp</t>
        </is>
      </c>
      <c r="B33" s="4" t="n">
        <v>22000</v>
      </c>
      <c r="C33" t="inlineStr">
        <is>
          <t>kPa design basis, CRYO_H2 and CRYO_O2 banks (22 MPa)</t>
        </is>
      </c>
      <c r="E33" t="inlineStr">
        <is>
          <t>A-M-167</t>
        </is>
      </c>
      <c r="H33" t="inlineStr">
        <is>
          <t>CRYO</t>
        </is>
      </c>
      <c r="I33" t="inlineStr">
        <is>
          <t>cold-box-asu-recovery-train</t>
        </is>
      </c>
      <c r="J33" t="inlineStr">
        <is>
          <t>cold-box</t>
        </is>
      </c>
      <c r="K33" t="inlineStr">
        <is>
          <t>rcv_design_kPa_hp</t>
        </is>
      </c>
    </row>
    <row r="34">
      <c r="A34" t="inlineStr">
        <is>
          <t>CRYO.cold-box-asu-recovery-train.cold-box.rcv_manifold_halves</t>
        </is>
      </c>
      <c r="B34" s="4" t="n">
        <v>2</v>
      </c>
      <c r="C34" t="inlineStr">
        <is>
          <t>- manifolded halves per bank, isolation redundancy</t>
        </is>
      </c>
      <c r="E34" t="inlineStr">
        <is>
          <t>A-M-167</t>
        </is>
      </c>
      <c r="H34" t="inlineStr">
        <is>
          <t>CRYO</t>
        </is>
      </c>
      <c r="I34" t="inlineStr">
        <is>
          <t>cold-box-asu-recovery-train</t>
        </is>
      </c>
      <c r="J34" t="inlineStr">
        <is>
          <t>cold-box</t>
        </is>
      </c>
      <c r="K34" t="inlineStr">
        <is>
          <t>rcv_manifold_halves</t>
        </is>
      </c>
    </row>
    <row r="35">
      <c r="A35" t="inlineStr">
        <is>
          <t>CRYO.cold-box-asu-recovery-train.cold-box.rcv_rack_allow_mm</t>
        </is>
      </c>
      <c r="B35" s="4" t="n">
        <v>300</v>
      </c>
      <c r="C35" t="inlineStr">
        <is>
          <t>mm rack allowance beyond the tube stack (height and width)</t>
        </is>
      </c>
      <c r="E35" t="inlineStr">
        <is>
          <t>A-M-167</t>
        </is>
      </c>
      <c r="H35" t="inlineStr">
        <is>
          <t>CRYO</t>
        </is>
      </c>
      <c r="I35" t="inlineStr">
        <is>
          <t>cold-box-asu-recovery-train</t>
        </is>
      </c>
      <c r="J35" t="inlineStr">
        <is>
          <t>cold-box</t>
        </is>
      </c>
      <c r="K35" t="inlineStr">
        <is>
          <t>rcv_rack_allow_mm</t>
        </is>
      </c>
    </row>
    <row r="36">
      <c r="A36" t="inlineStr">
        <is>
          <t>CRYO.cold-box-asu-recovery-train.cold-box.rcv_rack_len_allow_mm</t>
        </is>
      </c>
      <c r="B36" s="4" t="n">
        <v>600</v>
      </c>
      <c r="C36" t="inlineStr">
        <is>
          <t>mm rack length allowance past the tubes</t>
        </is>
      </c>
      <c r="E36" t="inlineStr">
        <is>
          <t>A-M-167</t>
        </is>
      </c>
      <c r="H36" t="inlineStr">
        <is>
          <t>CRYO</t>
        </is>
      </c>
      <c r="I36" t="inlineStr">
        <is>
          <t>cold-box-asu-recovery-train</t>
        </is>
      </c>
      <c r="J36" t="inlineStr">
        <is>
          <t>cold-box</t>
        </is>
      </c>
      <c r="K36" t="inlineStr">
        <is>
          <t>rcv_rack_len_allow_mm</t>
        </is>
      </c>
    </row>
    <row r="37">
      <c r="A37" t="inlineStr">
        <is>
          <t>CRYO.cold-box-asu-recovery-train.cold-box.rcv_row_pitch_mm</t>
        </is>
      </c>
      <c r="B37" s="4" t="n">
        <v>150</v>
      </c>
      <c r="C37" t="inlineStr">
        <is>
          <t>mm rack row pitch</t>
        </is>
      </c>
      <c r="E37" t="inlineStr">
        <is>
          <t>A-M-167</t>
        </is>
      </c>
      <c r="H37" t="inlineStr">
        <is>
          <t>CRYO</t>
        </is>
      </c>
      <c r="I37" t="inlineStr">
        <is>
          <t>cold-box-asu-recovery-train</t>
        </is>
      </c>
      <c r="J37" t="inlineStr">
        <is>
          <t>cold-box</t>
        </is>
      </c>
      <c r="K37" t="inlineStr">
        <is>
          <t>rcv_row_pitch_mm</t>
        </is>
      </c>
    </row>
    <row r="38">
      <c r="A38" t="inlineStr">
        <is>
          <t>CRYO.cold-box-asu-recovery-train.cold-box.rcv_tube_OD_mm</t>
        </is>
      </c>
      <c r="B38" s="4" t="n">
        <v>114.3</v>
      </c>
      <c r="C38" t="inlineStr">
        <is>
          <t>mm DN100 (NPS 4) receiver tube OD</t>
        </is>
      </c>
      <c r="D38" t="inlineStr">
        <is>
          <t>ASME_B36_10M</t>
        </is>
      </c>
      <c r="H38" t="inlineStr">
        <is>
          <t>CRYO</t>
        </is>
      </c>
      <c r="I38" t="inlineStr">
        <is>
          <t>cold-box-asu-recovery-train</t>
        </is>
      </c>
      <c r="J38" t="inlineStr">
        <is>
          <t>cold-box</t>
        </is>
      </c>
      <c r="K38" t="inlineStr">
        <is>
          <t>rcv_tube_OD_mm</t>
        </is>
      </c>
    </row>
    <row r="39">
      <c r="A39" t="inlineStr">
        <is>
          <t>CRYO.cold-box-asu-recovery-train.cold-box.rcv_tube_kg_m</t>
        </is>
      </c>
      <c r="B39" s="4" t="n">
        <v>28.3</v>
      </c>
      <c r="C39" t="inlineStr">
        <is>
          <t>kg/m receiver-tube linear mass (as-used)</t>
        </is>
      </c>
      <c r="E39" t="inlineStr">
        <is>
          <t>A-M-167</t>
        </is>
      </c>
      <c r="F39" t="b">
        <v>1</v>
      </c>
      <c r="G39" t="inlineStr">
        <is>
          <t>mill certificate or a weighed stock length of the DN100 Sch 160 316L tube</t>
        </is>
      </c>
      <c r="H39" t="inlineStr">
        <is>
          <t>CRYO</t>
        </is>
      </c>
      <c r="I39" t="inlineStr">
        <is>
          <t>cold-box-asu-recovery-train</t>
        </is>
      </c>
      <c r="J39" t="inlineStr">
        <is>
          <t>cold-box</t>
        </is>
      </c>
      <c r="K39" t="inlineStr">
        <is>
          <t>rcv_tube_kg_m</t>
        </is>
      </c>
    </row>
    <row r="40">
      <c r="A40" t="inlineStr">
        <is>
          <t>CRYO.cold-box-asu-recovery-train.cold-box.rcv_tube_wall_mm</t>
        </is>
      </c>
      <c r="B40" s="4" t="n">
        <v>13.49</v>
      </c>
      <c r="C40" t="inlineStr">
        <is>
          <t>mm receiver tube wall (DN100 Sch 160 as-used)</t>
        </is>
      </c>
      <c r="E40" t="inlineStr">
        <is>
          <t>A-M-167 (AQS-DUTY-065)</t>
        </is>
      </c>
      <c r="H40" t="inlineStr">
        <is>
          <t>CRYO</t>
        </is>
      </c>
      <c r="I40" t="inlineStr">
        <is>
          <t>cold-box-asu-recovery-train</t>
        </is>
      </c>
      <c r="J40" t="inlineStr">
        <is>
          <t>cold-box</t>
        </is>
      </c>
      <c r="K40" t="inlineStr">
        <is>
          <t>rcv_tube_wall_mm</t>
        </is>
      </c>
    </row>
    <row r="41">
      <c r="A41" t="inlineStr">
        <is>
          <t>CRYO.cold-box-asu-recovery-train.cold-box.rcv_tubes_per_row</t>
        </is>
      </c>
      <c r="B41" s="4" t="n">
        <v>8</v>
      </c>
      <c r="C41" t="inlineStr">
        <is>
          <t>- tubes per rack row</t>
        </is>
      </c>
      <c r="E41" t="inlineStr">
        <is>
          <t>A-M-167</t>
        </is>
      </c>
      <c r="H41" t="inlineStr">
        <is>
          <t>CRYO</t>
        </is>
      </c>
      <c r="I41" t="inlineStr">
        <is>
          <t>cold-box-asu-recovery-train</t>
        </is>
      </c>
      <c r="J41" t="inlineStr">
        <is>
          <t>cold-box</t>
        </is>
      </c>
      <c r="K41" t="inlineStr">
        <is>
          <t>rcv_tubes_per_row</t>
        </is>
      </c>
    </row>
    <row r="42">
      <c r="A42" t="inlineStr">
        <is>
          <t>CRYO.cold-box-asu-recovery-train.cold-box.rcv_wall_mill_factor</t>
        </is>
      </c>
      <c r="B42" s="4" t="n">
        <v>0.875</v>
      </c>
      <c r="C42" t="inlineStr">
        <is>
          <t>- fraction of nominal wall counted (12.5 % mill tolerance)</t>
        </is>
      </c>
      <c r="D42" t="inlineStr">
        <is>
          <t>ASTM_A999</t>
        </is>
      </c>
      <c r="H42" t="inlineStr">
        <is>
          <t>CRYO</t>
        </is>
      </c>
      <c r="I42" t="inlineStr">
        <is>
          <t>cold-box-asu-recovery-train</t>
        </is>
      </c>
      <c r="J42" t="inlineStr">
        <is>
          <t>cold-box</t>
        </is>
      </c>
      <c r="K42" t="inlineStr">
        <is>
          <t>rcv_wall_mill_factor</t>
        </is>
      </c>
    </row>
    <row r="43">
      <c r="A43" t="inlineStr">
        <is>
          <t>CRYO.cold-box-asu-recovery-train.feed-and-recovery.H2O_ELYZ.bop_m2_per_kW</t>
        </is>
      </c>
      <c r="B43" s="4" t="n">
        <v>0.015</v>
      </c>
      <c r="C43" t="inlineStr">
        <is>
          <t>m2 balance-of-plant plan area per kW rated (H2/O2 separators, deoxo, dryer per params.internals)</t>
        </is>
      </c>
      <c r="E43" t="inlineStr">
        <is>
          <t>A-M-279</t>
        </is>
      </c>
      <c r="F43" t="b">
        <v>1</v>
      </c>
      <c r="G43" t="inlineStr">
        <is>
          <t>in-house skid GA at the fabrication-design task</t>
        </is>
      </c>
      <c r="H43" t="inlineStr">
        <is>
          <t>CRYO</t>
        </is>
      </c>
      <c r="I43" t="inlineStr">
        <is>
          <t>cold-box-asu-recovery-train</t>
        </is>
      </c>
      <c r="J43" t="inlineStr">
        <is>
          <t>feed-and-recovery</t>
        </is>
      </c>
      <c r="K43" t="inlineStr">
        <is>
          <t>H2O_ELYZ</t>
        </is>
      </c>
      <c r="L43" t="inlineStr">
        <is>
          <t>bop_m2_per_kW</t>
        </is>
      </c>
    </row>
    <row r="44">
      <c r="A44" t="inlineStr">
        <is>
          <t>CRYO.cold-box-asu-recovery-train.feed-and-recovery.H2O_ELYZ.h2_hhv_kWh_kg</t>
        </is>
      </c>
      <c r="B44" s="4" t="n">
        <v>39.4</v>
      </c>
      <c r="C44" t="inlineStr">
        <is>
          <t>kWh/kg hydrogen higher heating value</t>
        </is>
      </c>
      <c r="D44" t="inlineStr">
        <is>
          <t>CRC_H2</t>
        </is>
      </c>
      <c r="H44" t="inlineStr">
        <is>
          <t>CRYO</t>
        </is>
      </c>
      <c r="I44" t="inlineStr">
        <is>
          <t>cold-box-asu-recovery-train</t>
        </is>
      </c>
      <c r="J44" t="inlineStr">
        <is>
          <t>feed-and-recovery</t>
        </is>
      </c>
      <c r="K44" t="inlineStr">
        <is>
          <t>H2O_ELYZ</t>
        </is>
      </c>
      <c r="L44" t="inlineStr">
        <is>
          <t>h2_hhv_kWh_kg</t>
        </is>
      </c>
    </row>
    <row r="45">
      <c r="A45" t="inlineStr">
        <is>
          <t>CRYO.cold-box-asu-recovery-train.feed-and-recovery.H2O_ELYZ.skid_H_mm</t>
        </is>
      </c>
      <c r="B45" s="4" t="n">
        <v>2200</v>
      </c>
      <c r="C45" t="inlineStr">
        <is>
          <t>mm skid height incl. separator deck</t>
        </is>
      </c>
      <c r="E45" t="inlineStr">
        <is>
          <t>A-M-279</t>
        </is>
      </c>
      <c r="F45" t="b">
        <v>1</v>
      </c>
      <c r="G45" t="inlineStr">
        <is>
          <t>in-house skid GA at the fabrication-design task</t>
        </is>
      </c>
      <c r="H45" t="inlineStr">
        <is>
          <t>CRYO</t>
        </is>
      </c>
      <c r="I45" t="inlineStr">
        <is>
          <t>cold-box-asu-recovery-train</t>
        </is>
      </c>
      <c r="J45" t="inlineStr">
        <is>
          <t>feed-and-recovery</t>
        </is>
      </c>
      <c r="K45" t="inlineStr">
        <is>
          <t>H2O_ELYZ</t>
        </is>
      </c>
      <c r="L45" t="inlineStr">
        <is>
          <t>skid_H_mm</t>
        </is>
      </c>
    </row>
    <row r="46">
      <c r="A46" t="inlineStr">
        <is>
          <t>CRYO.cold-box-asu-recovery-train.feed-and-recovery.H2O_ELYZ.skid_W_mm</t>
        </is>
      </c>
      <c r="B46" s="4" t="n">
        <v>1050</v>
      </c>
      <c r="C46" t="inlineStr">
        <is>
          <t>mm skid width (fits the CRYO H2-bay aisle)</t>
        </is>
      </c>
      <c r="E46" t="inlineStr">
        <is>
          <t>A-M-279</t>
        </is>
      </c>
      <c r="F46" t="b">
        <v>1</v>
      </c>
      <c r="G46" t="inlineStr">
        <is>
          <t>in-house skid GA at the fabrication-design task</t>
        </is>
      </c>
      <c r="H46" t="inlineStr">
        <is>
          <t>CRYO</t>
        </is>
      </c>
      <c r="I46" t="inlineStr">
        <is>
          <t>cold-box-asu-recovery-train</t>
        </is>
      </c>
      <c r="J46" t="inlineStr">
        <is>
          <t>feed-and-recovery</t>
        </is>
      </c>
      <c r="K46" t="inlineStr">
        <is>
          <t>H2O_ELYZ</t>
        </is>
      </c>
      <c r="L46" t="inlineStr">
        <is>
          <t>skid_W_mm</t>
        </is>
      </c>
    </row>
    <row r="47">
      <c r="A47" t="inlineStr">
        <is>
          <t>CRYO.cold-box-asu-recovery-train.feed-and-recovery.H2O_ELYZ.skid_m2_per_kW</t>
        </is>
      </c>
      <c r="B47" s="4" t="n">
        <v>0.025</v>
      </c>
      <c r="C47" t="inlineStr">
        <is>
          <t>m2 skid plan area per kW rated stack (PEM stack enclosure)</t>
        </is>
      </c>
      <c r="E47" t="inlineStr">
        <is>
          <t>A-M-279</t>
        </is>
      </c>
      <c r="F47" t="b">
        <v>1</v>
      </c>
      <c r="G47" t="inlineStr">
        <is>
          <t>in-house skid GA at the fabrication-design task</t>
        </is>
      </c>
      <c r="H47" t="inlineStr">
        <is>
          <t>CRYO</t>
        </is>
      </c>
      <c r="I47" t="inlineStr">
        <is>
          <t>cold-box-asu-recovery-train</t>
        </is>
      </c>
      <c r="J47" t="inlineStr">
        <is>
          <t>feed-and-recovery</t>
        </is>
      </c>
      <c r="K47" t="inlineStr">
        <is>
          <t>H2O_ELYZ</t>
        </is>
      </c>
      <c r="L47" t="inlineStr">
        <is>
          <t>skid_m2_per_kW</t>
        </is>
      </c>
    </row>
    <row r="48">
      <c r="A48" t="inlineStr">
        <is>
          <t>CRYO.cold-box-asu-recovery-train.feed-and-recovery.PROD_MEOH.hold_d</t>
        </is>
      </c>
      <c r="B48" s="4" t="n">
        <v>14</v>
      </c>
      <c r="C48" t="inlineStr">
        <is>
          <t>d hold time (D-DOCK shipped-product dispatch campaign, A-M-278)</t>
        </is>
      </c>
      <c r="E48" t="inlineStr">
        <is>
          <t>A-M-278</t>
        </is>
      </c>
      <c r="F48" t="b">
        <v>1</v>
      </c>
      <c r="G48" t="inlineStr">
        <is>
          <t>dispatch log cadence at the dock</t>
        </is>
      </c>
      <c r="H48" t="inlineStr">
        <is>
          <t>CRYO</t>
        </is>
      </c>
      <c r="I48" t="inlineStr">
        <is>
          <t>cold-box-asu-recovery-train</t>
        </is>
      </c>
      <c r="J48" t="inlineStr">
        <is>
          <t>feed-and-recovery</t>
        </is>
      </c>
      <c r="K48" t="inlineStr">
        <is>
          <t>PROD_MEOH</t>
        </is>
      </c>
      <c r="L48" t="inlineStr">
        <is>
          <t>hold_d</t>
        </is>
      </c>
    </row>
    <row r="49">
      <c r="A49" t="inlineStr">
        <is>
          <t>CRYO.cold-box-asu-recovery-train.feed-and-recovery.PROD_MEOH.rho_kg_m3</t>
        </is>
      </c>
      <c r="B49" s="4" t="n">
        <v>792</v>
      </c>
      <c r="C49" t="inlineStr">
        <is>
          <t>kg/m3 stored liquid at 20 C</t>
        </is>
      </c>
      <c r="D49" t="inlineStr">
        <is>
          <t>PERRY9</t>
        </is>
      </c>
      <c r="H49" t="inlineStr">
        <is>
          <t>CRYO</t>
        </is>
      </c>
      <c r="I49" t="inlineStr">
        <is>
          <t>cold-box-asu-recovery-train</t>
        </is>
      </c>
      <c r="J49" t="inlineStr">
        <is>
          <t>feed-and-recovery</t>
        </is>
      </c>
      <c r="K49" t="inlineStr">
        <is>
          <t>PROD_MEOH</t>
        </is>
      </c>
      <c r="L49" t="inlineStr">
        <is>
          <t>rho_kg_m3</t>
        </is>
      </c>
    </row>
    <row r="50">
      <c r="A50" t="inlineStr">
        <is>
          <t>CRYO.cold-box-asu-recovery-train.feed-and-recovery.PROD_O2.P_MPa</t>
        </is>
      </c>
      <c r="B50" s="4" t="n">
        <v>20</v>
      </c>
      <c r="C50" t="inlineStr">
        <is>
          <t>MPa gauge design pressure (200 bar Type I cylinder-bank service, CRYO_O2 storage_mode)</t>
        </is>
      </c>
      <c r="E50" t="inlineStr">
        <is>
          <t>A-M-278</t>
        </is>
      </c>
      <c r="F50" t="b">
        <v>1</v>
      </c>
      <c r="G50" t="inlineStr">
        <is>
          <t>cylinder bank datasheet at purchase</t>
        </is>
      </c>
      <c r="H50" t="inlineStr">
        <is>
          <t>CRYO</t>
        </is>
      </c>
      <c r="I50" t="inlineStr">
        <is>
          <t>cold-box-asu-recovery-train</t>
        </is>
      </c>
      <c r="J50" t="inlineStr">
        <is>
          <t>feed-and-recovery</t>
        </is>
      </c>
      <c r="K50" t="inlineStr">
        <is>
          <t>PROD_O2</t>
        </is>
      </c>
      <c r="L50" t="inlineStr">
        <is>
          <t>P_MPa</t>
        </is>
      </c>
    </row>
    <row r="51">
      <c r="A51" t="inlineStr">
        <is>
          <t>CRYO.cold-box-asu-recovery-train.feed-and-recovery.PROD_O2.hold_d</t>
        </is>
      </c>
      <c r="B51" s="4" t="n">
        <v>14</v>
      </c>
      <c r="C51" t="inlineStr">
        <is>
          <t>d hold time (D-DOCK shipped-product dispatch campaign, A-M-278)</t>
        </is>
      </c>
      <c r="E51" t="inlineStr">
        <is>
          <t>A-M-278</t>
        </is>
      </c>
      <c r="F51" t="b">
        <v>1</v>
      </c>
      <c r="G51" t="inlineStr">
        <is>
          <t>dispatch log cadence at the dock</t>
        </is>
      </c>
      <c r="H51" t="inlineStr">
        <is>
          <t>CRYO</t>
        </is>
      </c>
      <c r="I51" t="inlineStr">
        <is>
          <t>cold-box-asu-recovery-train</t>
        </is>
      </c>
      <c r="J51" t="inlineStr">
        <is>
          <t>feed-and-recovery</t>
        </is>
      </c>
      <c r="K51" t="inlineStr">
        <is>
          <t>PROD_O2</t>
        </is>
      </c>
      <c r="L51" t="inlineStr">
        <is>
          <t>hold_d</t>
        </is>
      </c>
    </row>
    <row r="52">
      <c r="A52" t="inlineStr">
        <is>
          <t>CRYO.cold-box-asu-recovery-train.feed-and-recovery.PROD_O2.rho_kg_m3</t>
        </is>
      </c>
      <c r="B52" s="4" t="n">
        <v>293.4</v>
      </c>
      <c r="C52" t="inlineStr">
        <is>
          <t>kg/m3 O2 at 200 bar abs 15 C (Z 0.9105, Peng-Robinson check of the NIST isotherm)</t>
        </is>
      </c>
      <c r="D52" t="inlineStr">
        <is>
          <t>NIST_WEBBOOK</t>
        </is>
      </c>
      <c r="H52" t="inlineStr">
        <is>
          <t>CRYO</t>
        </is>
      </c>
      <c r="I52" t="inlineStr">
        <is>
          <t>cold-box-asu-recovery-train</t>
        </is>
      </c>
      <c r="J52" t="inlineStr">
        <is>
          <t>feed-and-recovery</t>
        </is>
      </c>
      <c r="K52" t="inlineStr">
        <is>
          <t>PROD_O2</t>
        </is>
      </c>
      <c r="L52" t="inlineStr">
        <is>
          <t>rho_kg_m3</t>
        </is>
      </c>
    </row>
    <row r="53">
      <c r="A53" t="inlineStr">
        <is>
          <t>DIGESTER.ew-cascade-train.ew_cathode_pitch_m</t>
        </is>
      </c>
      <c r="B53" s="4" t="n">
        <v>0.1</v>
      </c>
      <c r="C53" t="inlineStr">
        <is>
          <t>m cathode to cathode (anode between)</t>
        </is>
      </c>
      <c r="E53" t="inlineStr">
        <is>
          <t>A-M-038 (cathode pitch and tank allowances, common EW practice)</t>
        </is>
      </c>
      <c r="H53" t="inlineStr">
        <is>
          <t>DIGESTER</t>
        </is>
      </c>
      <c r="I53" t="inlineStr">
        <is>
          <t>ew-cascade-train</t>
        </is>
      </c>
      <c r="J53" t="inlineStr">
        <is>
          <t>ew_cathode_pitch_m</t>
        </is>
      </c>
    </row>
    <row r="54">
      <c r="A54" t="inlineStr">
        <is>
          <t>DIGESTER.ew-cascade-train.ew_liquor_rho_kg_m3</t>
        </is>
      </c>
      <c r="B54" s="4" t="n">
        <v>1100</v>
      </c>
      <c r="C54" t="inlineStr">
        <is>
          <t>kg/m3 cell liquor</t>
        </is>
      </c>
      <c r="E54" t="inlineStr">
        <is>
          <t>A-M-029 (dilute HCl with dissolved metal chlorides; same liquor as LEACH_CSTR_1, AQS-DUTY-050)</t>
        </is>
      </c>
      <c r="H54" t="inlineStr">
        <is>
          <t>DIGESTER</t>
        </is>
      </c>
      <c r="I54" t="inlineStr">
        <is>
          <t>ew-cascade-train</t>
        </is>
      </c>
      <c r="J54" t="inlineStr">
        <is>
          <t>ew_liquor_rho_kg_m3</t>
        </is>
      </c>
    </row>
    <row r="55">
      <c r="A55" t="inlineStr">
        <is>
          <t>DIGESTER.ew-cascade-train.ew_plate_height_m</t>
        </is>
      </c>
      <c r="B55" s="4" t="n">
        <v>0.42</v>
      </c>
      <c r="C55" t="inlineStr">
        <is>
          <t>m immersed cathode height</t>
        </is>
      </c>
      <c r="E55" t="inlineStr">
        <is>
          <t>A-M-040 (AQS-EW-MOD-001 immersed plate 0.60 x 0.42 m)</t>
        </is>
      </c>
      <c r="H55" t="inlineStr">
        <is>
          <t>DIGESTER</t>
        </is>
      </c>
      <c r="I55" t="inlineStr">
        <is>
          <t>ew-cascade-train</t>
        </is>
      </c>
      <c r="J55" t="inlineStr">
        <is>
          <t>ew_plate_height_m</t>
        </is>
      </c>
    </row>
    <row r="56">
      <c r="A56" t="inlineStr">
        <is>
          <t>DIGESTER.ew-cascade-train.ew_plate_width_m</t>
        </is>
      </c>
      <c r="B56" s="4" t="n">
        <v>0.6</v>
      </c>
      <c r="C56" t="inlineStr">
        <is>
          <t>m immersed cathode width</t>
        </is>
      </c>
      <c r="E56" t="inlineStr">
        <is>
          <t>A-M-040 (AQS-EW-MOD-001 immersed plate 0.60 x 0.42 m)</t>
        </is>
      </c>
      <c r="H56" t="inlineStr">
        <is>
          <t>DIGESTER</t>
        </is>
      </c>
      <c r="I56" t="inlineStr">
        <is>
          <t>ew-cascade-train</t>
        </is>
      </c>
      <c r="J56" t="inlineStr">
        <is>
          <t>ew_plate_width_m</t>
        </is>
      </c>
    </row>
    <row r="57">
      <c r="A57" t="inlineStr">
        <is>
          <t>DIGESTER.ew-cascade-train.ew_s08_deposits_kg_d</t>
        </is>
      </c>
      <c r="B57" s="4" t="inlineStr">
        <is>
          <t>{"1":0.0063,"2":0.0251,"3":8.7841,"4":0.7111,"5":0.7111,"6":0.7111,"7":29.629,"8":0.7111,"9":0.7111}</t>
        </is>
      </c>
      <c r="C57" t="inlineStr">
        <is>
          <t>kg/d S08 element deposit per EW_n (element-comparison column only; bounding current is from IA-EW-MET-n)</t>
        </is>
      </c>
      <c r="D57" t="inlineStr">
        <is>
          <t>AQS-ASSAY-001 section 5 S08 deposits</t>
        </is>
      </c>
      <c r="H57" t="inlineStr">
        <is>
          <t>DIGESTER</t>
        </is>
      </c>
      <c r="I57" t="inlineStr">
        <is>
          <t>ew-cascade-train</t>
        </is>
      </c>
      <c r="J57" t="inlineStr">
        <is>
          <t>ew_s08_deposits_kg_d</t>
        </is>
      </c>
    </row>
    <row r="58">
      <c r="A58" t="inlineStr">
        <is>
          <t>DIGESTER.ew-cascade-train.ew_tank_cover_m</t>
        </is>
      </c>
      <c r="B58" s="4" t="n">
        <v>0.1</v>
      </c>
      <c r="C58" t="inlineStr">
        <is>
          <t>m cover allowance above the plate</t>
        </is>
      </c>
      <c r="E58" t="inlineStr">
        <is>
          <t>A-M-038 (cathode pitch and tank allowances, common EW practice)</t>
        </is>
      </c>
      <c r="H58" t="inlineStr">
        <is>
          <t>DIGESTER</t>
        </is>
      </c>
      <c r="I58" t="inlineStr">
        <is>
          <t>ew-cascade-train</t>
        </is>
      </c>
      <c r="J58" t="inlineStr">
        <is>
          <t>ew_tank_cover_m</t>
        </is>
      </c>
    </row>
    <row r="59">
      <c r="A59" t="inlineStr">
        <is>
          <t>DIGESTER.ew-cascade-train.ew_tank_end_margin_m</t>
        </is>
      </c>
      <c r="B59" s="4" t="n">
        <v>0.075</v>
      </c>
      <c r="C59" t="inlineStr">
        <is>
          <t>m tank end allowance past the electrode pack</t>
        </is>
      </c>
      <c r="E59" t="inlineStr">
        <is>
          <t>A-M-038 (cathode pitch and tank allowances, common EW practice)</t>
        </is>
      </c>
      <c r="H59" t="inlineStr">
        <is>
          <t>DIGESTER</t>
        </is>
      </c>
      <c r="I59" t="inlineStr">
        <is>
          <t>ew-cascade-train</t>
        </is>
      </c>
      <c r="J59" t="inlineStr">
        <is>
          <t>ew_tank_end_margin_m</t>
        </is>
      </c>
    </row>
    <row r="60">
      <c r="A60" t="inlineStr">
        <is>
          <t>DIGESTER.ew-cascade-train.ew_tank_freeboard_m</t>
        </is>
      </c>
      <c r="B60" s="4" t="n">
        <v>0.08</v>
      </c>
      <c r="C60" t="inlineStr">
        <is>
          <t>m freeboard above the cover allowance</t>
        </is>
      </c>
      <c r="E60" t="inlineStr">
        <is>
          <t>A-M-038 (cathode pitch and tank allowances, common EW practice)</t>
        </is>
      </c>
      <c r="H60" t="inlineStr">
        <is>
          <t>DIGESTER</t>
        </is>
      </c>
      <c r="I60" t="inlineStr">
        <is>
          <t>ew-cascade-train</t>
        </is>
      </c>
      <c r="J60" t="inlineStr">
        <is>
          <t>ew_tank_freeboard_m</t>
        </is>
      </c>
    </row>
    <row r="61">
      <c r="A61" t="inlineStr">
        <is>
          <t>DIGESTER.ew-cascade-train.ew_tank_side_margin_m</t>
        </is>
      </c>
      <c r="B61" s="4" t="n">
        <v>0.05</v>
      </c>
      <c r="C61" t="inlineStr">
        <is>
          <t>m tank side allowance past the plate</t>
        </is>
      </c>
      <c r="E61" t="inlineStr">
        <is>
          <t>A-M-038 (cathode pitch and tank allowances, common EW practice)</t>
        </is>
      </c>
      <c r="H61" t="inlineStr">
        <is>
          <t>DIGESTER</t>
        </is>
      </c>
      <c r="I61" t="inlineStr">
        <is>
          <t>ew-cascade-train</t>
        </is>
      </c>
      <c r="J61" t="inlineStr">
        <is>
          <t>ew_tank_side_margin_m</t>
        </is>
      </c>
    </row>
    <row r="62">
      <c r="A62" t="inlineStr">
        <is>
          <t>DIGESTER.ew-cascade-train.ew_tank_sump_m</t>
        </is>
      </c>
      <c r="B62" s="4" t="n">
        <v>0.15</v>
      </c>
      <c r="C62" t="inlineStr">
        <is>
          <t>m sludge sump below the plate</t>
        </is>
      </c>
      <c r="E62" t="inlineStr">
        <is>
          <t>A-M-038 (cathode pitch and tank allowances, common EW practice)</t>
        </is>
      </c>
      <c r="H62" t="inlineStr">
        <is>
          <t>DIGESTER</t>
        </is>
      </c>
      <c r="I62" t="inlineStr">
        <is>
          <t>ew-cascade-train</t>
        </is>
      </c>
      <c r="J62" t="inlineStr">
        <is>
          <t>ew_tank_sump_m</t>
        </is>
      </c>
    </row>
    <row r="63">
      <c r="A63" t="inlineStr">
        <is>
          <t>DIGESTER.ew-cascade-train.ew_tank_wall_m</t>
        </is>
      </c>
      <c r="B63" s="4" t="n">
        <v>0.01</v>
      </c>
      <c r="C63" t="inlineStr">
        <is>
          <t>m thermoplastic tank wall</t>
        </is>
      </c>
      <c r="D63" t="inlineStr">
        <is>
          <t>AQS-DUTY-051 Rev A tank wall (10 mm)</t>
        </is>
      </c>
      <c r="H63" t="inlineStr">
        <is>
          <t>DIGESTER</t>
        </is>
      </c>
      <c r="I63" t="inlineStr">
        <is>
          <t>ew-cascade-train</t>
        </is>
      </c>
      <c r="J63" t="inlineStr">
        <is>
          <t>ew_tank_wall_m</t>
        </is>
      </c>
    </row>
    <row r="64">
      <c r="A64" t="inlineStr">
        <is>
          <t>DIGESTER.ew-cascade-train.intercell_bore_m</t>
        </is>
      </c>
      <c r="B64" s="4" t="n">
        <v>0.0493</v>
      </c>
      <c r="C64" t="inlineStr">
        <is>
          <t>m</t>
        </is>
      </c>
      <c r="E64" t="inlineStr">
        <is>
          <t>A-M-036</t>
        </is>
      </c>
      <c r="H64" t="inlineStr">
        <is>
          <t>DIGESTER</t>
        </is>
      </c>
      <c r="I64" t="inlineStr">
        <is>
          <t>ew-cascade-train</t>
        </is>
      </c>
      <c r="J64" t="inlineStr">
        <is>
          <t>intercell_bore_m</t>
        </is>
      </c>
    </row>
    <row r="65">
      <c r="A65" t="inlineStr">
        <is>
          <t>DIGESTER.ew-cascade-train.liquor_conductivity_S_m</t>
        </is>
      </c>
      <c r="B65" s="4" t="n">
        <v>30</v>
      </c>
      <c r="C65" t="inlineStr">
        <is>
          <t>S/m</t>
        </is>
      </c>
      <c r="E65" t="inlineStr">
        <is>
          <t>A-M-269</t>
        </is>
      </c>
      <c r="F65" t="b">
        <v>1</v>
      </c>
      <c r="G65" t="inlineStr">
        <is>
          <t>measure or cite chloride liquor conductivity at 1.4 M HCl</t>
        </is>
      </c>
      <c r="H65" t="inlineStr">
        <is>
          <t>DIGESTER</t>
        </is>
      </c>
      <c r="I65" t="inlineStr">
        <is>
          <t>ew-cascade-train</t>
        </is>
      </c>
      <c r="J65" t="inlineStr">
        <is>
          <t>liquor_conductivity_S_m</t>
        </is>
      </c>
    </row>
    <row r="66">
      <c r="A66" t="inlineStr">
        <is>
          <t>DIGESTER.ew-cascade-train.max_shunt_dV_V</t>
        </is>
      </c>
      <c r="B66" s="4" t="n">
        <v>6</v>
      </c>
      <c r="C66" t="inlineStr">
        <is>
          <t>V</t>
        </is>
      </c>
      <c r="E66" t="inlineStr">
        <is>
          <t>A-M-269</t>
        </is>
      </c>
      <c r="F66" t="b">
        <v>1</v>
      </c>
      <c r="G66" t="inlineStr">
        <is>
          <t>worst-case pole-to-earth difference for the rectifier configuration</t>
        </is>
      </c>
      <c r="H66" t="inlineStr">
        <is>
          <t>DIGESTER</t>
        </is>
      </c>
      <c r="I66" t="inlineStr">
        <is>
          <t>ew-cascade-train</t>
        </is>
      </c>
      <c r="J66" t="inlineStr">
        <is>
          <t>max_shunt_dV_V</t>
        </is>
      </c>
    </row>
    <row r="67">
      <c r="A67" t="inlineStr">
        <is>
          <t>DIGESTER.ew-cascade-train.stray_current_limit_A</t>
        </is>
      </c>
      <c r="B67" s="4" t="n">
        <v>0.1</v>
      </c>
      <c r="C67" t="inlineStr">
        <is>
          <t>A</t>
        </is>
      </c>
      <c r="E67" t="inlineStr">
        <is>
          <t>A-M-269</t>
        </is>
      </c>
      <c r="F67" t="b">
        <v>1</v>
      </c>
      <c r="G67" t="inlineStr">
        <is>
          <t>stray-current acceptance limit vs NFPA 70E / AQS-HSE basis</t>
        </is>
      </c>
      <c r="H67" t="inlineStr">
        <is>
          <t>DIGESTER</t>
        </is>
      </c>
      <c r="I67" t="inlineStr">
        <is>
          <t>ew-cascade-train</t>
        </is>
      </c>
      <c r="J67" t="inlineStr">
        <is>
          <t>stray_current_limit_A</t>
        </is>
      </c>
    </row>
    <row r="68">
      <c r="A68" t="inlineStr">
        <is>
          <t>DIGESTER.metals-leach-train.acid-base-regen.EVAP_ACID_VS.vs_DN_ladder_mm</t>
        </is>
      </c>
      <c r="B68" s="4" t="inlineStr">
        <is>
          <t>[100,125,150,200]</t>
        </is>
      </c>
      <c r="C68" t="inlineStr">
        <is>
          <t>mm DN pipe sizes available for the column</t>
        </is>
      </c>
      <c r="E68" t="inlineStr">
        <is>
          <t>A-M-111 (X-PAR-10)</t>
        </is>
      </c>
      <c r="H68" t="inlineStr">
        <is>
          <t>DIGESTER</t>
        </is>
      </c>
      <c r="I68" t="inlineStr">
        <is>
          <t>metals-leach-train</t>
        </is>
      </c>
      <c r="J68" t="inlineStr">
        <is>
          <t>acid-base-regen</t>
        </is>
      </c>
      <c r="K68" t="inlineStr">
        <is>
          <t>EVAP_ACID_VS</t>
        </is>
      </c>
      <c r="L68" t="inlineStr">
        <is>
          <t>vs_DN_ladder_mm</t>
        </is>
      </c>
    </row>
    <row r="69">
      <c r="A69" t="inlineStr">
        <is>
          <t>DIGESTER.metals-leach-train.acid-base-regen.EVAP_ACID_VS.vs_head_allowance_mm</t>
        </is>
      </c>
      <c r="B69" s="4" t="n">
        <v>900</v>
      </c>
      <c r="C69" t="inlineStr">
        <is>
          <t>mm sump, inlet and demister above the bed</t>
        </is>
      </c>
      <c r="E69" t="inlineStr">
        <is>
          <t>A-M-111</t>
        </is>
      </c>
      <c r="H69" t="inlineStr">
        <is>
          <t>DIGESTER</t>
        </is>
      </c>
      <c r="I69" t="inlineStr">
        <is>
          <t>metals-leach-train</t>
        </is>
      </c>
      <c r="J69" t="inlineStr">
        <is>
          <t>acid-base-regen</t>
        </is>
      </c>
      <c r="K69" t="inlineStr">
        <is>
          <t>EVAP_ACID_VS</t>
        </is>
      </c>
      <c r="L69" t="inlineStr">
        <is>
          <t>vs_head_allowance_mm</t>
        </is>
      </c>
    </row>
    <row r="70">
      <c r="A70" t="inlineStr">
        <is>
          <t>DIGESTER.metals-leach-train.acid-base-regen.EVAP_ACID_VS.vs_pump_eta</t>
        </is>
      </c>
      <c r="B70" s="4" t="n">
        <v>0.4</v>
      </c>
      <c r="C70" t="inlineStr">
        <is>
          <t>- small pump efficiency</t>
        </is>
      </c>
      <c r="E70" t="inlineStr">
        <is>
          <t>A-M-111</t>
        </is>
      </c>
      <c r="H70" t="inlineStr">
        <is>
          <t>DIGESTER</t>
        </is>
      </c>
      <c r="I70" t="inlineStr">
        <is>
          <t>metals-leach-train</t>
        </is>
      </c>
      <c r="J70" t="inlineStr">
        <is>
          <t>acid-base-regen</t>
        </is>
      </c>
      <c r="K70" t="inlineStr">
        <is>
          <t>EVAP_ACID_VS</t>
        </is>
      </c>
      <c r="L70" t="inlineStr">
        <is>
          <t>vs_pump_eta</t>
        </is>
      </c>
    </row>
    <row r="71">
      <c r="A71" t="inlineStr">
        <is>
          <t>DIGESTER.metals-leach-train.acid-base-regen.EVAP_ACID_VS.vs_pump_head_m</t>
        </is>
      </c>
      <c r="B71" s="4" t="n">
        <v>10</v>
      </c>
      <c r="C71" t="inlineStr">
        <is>
          <t>m recirculation pump head</t>
        </is>
      </c>
      <c r="E71" t="inlineStr">
        <is>
          <t>A-M-111</t>
        </is>
      </c>
      <c r="H71" t="inlineStr">
        <is>
          <t>DIGESTER</t>
        </is>
      </c>
      <c r="I71" t="inlineStr">
        <is>
          <t>metals-leach-train</t>
        </is>
      </c>
      <c r="J71" t="inlineStr">
        <is>
          <t>acid-base-regen</t>
        </is>
      </c>
      <c r="K71" t="inlineStr">
        <is>
          <t>EVAP_ACID_VS</t>
        </is>
      </c>
      <c r="L71" t="inlineStr">
        <is>
          <t>vs_pump_head_m</t>
        </is>
      </c>
    </row>
    <row r="72">
      <c r="A72" t="inlineStr">
        <is>
          <t>DIGESTER.metals-leach-train.acid-base-regen.EVAP_ACID_VS.vs_sump_L</t>
        </is>
      </c>
      <c r="B72" s="4" t="n">
        <v>20</v>
      </c>
      <c r="C72" t="inlineStr">
        <is>
          <t>L sump charge of 2 M NaOH</t>
        </is>
      </c>
      <c r="E72" t="inlineStr">
        <is>
          <t>A-M-111</t>
        </is>
      </c>
      <c r="H72" t="inlineStr">
        <is>
          <t>DIGESTER</t>
        </is>
      </c>
      <c r="I72" t="inlineStr">
        <is>
          <t>metals-leach-train</t>
        </is>
      </c>
      <c r="J72" t="inlineStr">
        <is>
          <t>acid-base-regen</t>
        </is>
      </c>
      <c r="K72" t="inlineStr">
        <is>
          <t>EVAP_ACID_VS</t>
        </is>
      </c>
      <c r="L72" t="inlineStr">
        <is>
          <t>vs_sump_L</t>
        </is>
      </c>
    </row>
    <row r="73">
      <c r="A73" t="inlineStr">
        <is>
          <t>DIGESTER.metals-leach-train.acid-base-regen.bmed_spare_stacks</t>
        </is>
      </c>
      <c r="B73" s="4" t="n">
        <v>1</v>
      </c>
      <c r="C73" t="inlineStr">
        <is>
          <t>- spare BMED stacks beyond the duty set (redundancy rule)</t>
        </is>
      </c>
      <c r="E73" t="inlineStr">
        <is>
          <t>A-M-170 (X-MFG-35)</t>
        </is>
      </c>
      <c r="H73" t="inlineStr">
        <is>
          <t>DIGESTER</t>
        </is>
      </c>
      <c r="I73" t="inlineStr">
        <is>
          <t>metals-leach-train</t>
        </is>
      </c>
      <c r="J73" t="inlineStr">
        <is>
          <t>acid-base-regen</t>
        </is>
      </c>
      <c r="K73" t="inlineStr">
        <is>
          <t>bmed_spare_stacks</t>
        </is>
      </c>
    </row>
    <row r="74">
      <c r="A74" t="inlineStr">
        <is>
          <t>DIGESTER.metals-leach-train.acid-base-regen.cooler_pipe_od_m</t>
        </is>
      </c>
      <c r="B74" s="4" t="n">
        <v>0.032</v>
      </c>
      <c r="C74" t="inlineStr">
        <is>
          <t>m PVDF DN25 pipe OD</t>
        </is>
      </c>
      <c r="D74" t="inlineStr">
        <is>
          <t>X-MAT-19 passive air-cooled hot-draw coolers (PVDF DN25)</t>
        </is>
      </c>
      <c r="H74" t="inlineStr">
        <is>
          <t>DIGESTER</t>
        </is>
      </c>
      <c r="I74" t="inlineStr">
        <is>
          <t>metals-leach-train</t>
        </is>
      </c>
      <c r="J74" t="inlineStr">
        <is>
          <t>acid-base-regen</t>
        </is>
      </c>
      <c r="K74" t="inlineStr">
        <is>
          <t>cooler_pipe_od_m</t>
        </is>
      </c>
    </row>
    <row r="75">
      <c r="A75" t="inlineStr">
        <is>
          <t>DIGESTER.metals-leach-train.acid-base-regen.evap_bundle_margin</t>
        </is>
      </c>
      <c r="B75" s="4" t="n">
        <v>1.1</v>
      </c>
      <c r="C75" t="inlineStr">
        <is>
          <t>- bundle diameter margin in the shell</t>
        </is>
      </c>
      <c r="E75" t="inlineStr">
        <is>
          <t>A-M-107</t>
        </is>
      </c>
      <c r="H75" t="inlineStr">
        <is>
          <t>DIGESTER</t>
        </is>
      </c>
      <c r="I75" t="inlineStr">
        <is>
          <t>metals-leach-train</t>
        </is>
      </c>
      <c r="J75" t="inlineStr">
        <is>
          <t>acid-base-regen</t>
        </is>
      </c>
      <c r="K75" t="inlineStr">
        <is>
          <t>evap_bundle_margin</t>
        </is>
      </c>
    </row>
    <row r="76">
      <c r="A76" t="inlineStr">
        <is>
          <t>DIGESTER.metals-leach-train.acid-base-regen.evap_col_skirt_mm</t>
        </is>
      </c>
      <c r="B76" s="4" t="n">
        <v>800</v>
      </c>
      <c r="C76" t="inlineStr">
        <is>
          <t>mm column skirt and distribution height above the packing</t>
        </is>
      </c>
      <c r="E76" t="inlineStr">
        <is>
          <t>A-M-108 (counter-current column)</t>
        </is>
      </c>
      <c r="H76" t="inlineStr">
        <is>
          <t>DIGESTER</t>
        </is>
      </c>
      <c r="I76" t="inlineStr">
        <is>
          <t>metals-leach-train</t>
        </is>
      </c>
      <c r="J76" t="inlineStr">
        <is>
          <t>acid-base-regen</t>
        </is>
      </c>
      <c r="K76" t="inlineStr">
        <is>
          <t>evap_col_skirt_mm</t>
        </is>
      </c>
    </row>
    <row r="77">
      <c r="A77" t="inlineStr">
        <is>
          <t>DIGESTER.metals-leach-train.acid-base-regen.evap_cond_cp_kJ_kgK</t>
        </is>
      </c>
      <c r="B77" s="4" t="n">
        <v>4.21</v>
      </c>
      <c r="C77" t="inlineStr">
        <is>
          <t>kJ/(kg K) interchanger condensate cp</t>
        </is>
      </c>
      <c r="E77" t="inlineStr">
        <is>
          <t>A-M-106</t>
        </is>
      </c>
      <c r="H77" t="inlineStr">
        <is>
          <t>DIGESTER</t>
        </is>
      </c>
      <c r="I77" t="inlineStr">
        <is>
          <t>metals-leach-train</t>
        </is>
      </c>
      <c r="J77" t="inlineStr">
        <is>
          <t>acid-base-regen</t>
        </is>
      </c>
      <c r="K77" t="inlineStr">
        <is>
          <t>evap_cond_cp_kJ_kgK</t>
        </is>
      </c>
    </row>
    <row r="78">
      <c r="A78" t="inlineStr">
        <is>
          <t>DIGESTER.metals-leach-train.acid-base-regen.evap_frame_acid_w_mm</t>
        </is>
      </c>
      <c r="B78" s="4" t="n">
        <v>500</v>
      </c>
      <c r="C78" t="inlineStr">
        <is>
          <t>mm extra EVAP_ACID frame width (carries EVAP_ACID_VS)</t>
        </is>
      </c>
      <c r="D78" t="inlineStr">
        <is>
          <t>AQS-DUTY-060 Rev B frame (X-PAR-10)</t>
        </is>
      </c>
      <c r="H78" t="inlineStr">
        <is>
          <t>DIGESTER</t>
        </is>
      </c>
      <c r="I78" t="inlineStr">
        <is>
          <t>metals-leach-train</t>
        </is>
      </c>
      <c r="J78" t="inlineStr">
        <is>
          <t>acid-base-regen</t>
        </is>
      </c>
      <c r="K78" t="inlineStr">
        <is>
          <t>evap_frame_acid_w_mm</t>
        </is>
      </c>
    </row>
    <row r="79">
      <c r="A79" t="inlineStr">
        <is>
          <t>DIGESTER.metals-leach-train.acid-base-regen.evap_frame_col_mm</t>
        </is>
      </c>
      <c r="B79" s="4" t="n">
        <v>250</v>
      </c>
      <c r="C79" t="inlineStr">
        <is>
          <t>mm column footprint allowance in frame length</t>
        </is>
      </c>
      <c r="D79" t="inlineStr">
        <is>
          <t>AQS-DUTY-060 Rev B frame</t>
        </is>
      </c>
      <c r="H79" t="inlineStr">
        <is>
          <t>DIGESTER</t>
        </is>
      </c>
      <c r="I79" t="inlineStr">
        <is>
          <t>metals-leach-train</t>
        </is>
      </c>
      <c r="J79" t="inlineStr">
        <is>
          <t>acid-base-regen</t>
        </is>
      </c>
      <c r="K79" t="inlineStr">
        <is>
          <t>evap_frame_col_mm</t>
        </is>
      </c>
    </row>
    <row r="80">
      <c r="A80" t="inlineStr">
        <is>
          <t>DIGESTER.metals-leach-train.acid-base-regen.evap_frame_len_mm</t>
        </is>
      </c>
      <c r="B80" s="4" t="n">
        <v>900</v>
      </c>
      <c r="C80" t="inlineStr">
        <is>
          <t>mm frame length allowance past the shell</t>
        </is>
      </c>
      <c r="D80" t="inlineStr">
        <is>
          <t>AQS-DUTY-060 Rev B frame (body plus interchanger and compressor)</t>
        </is>
      </c>
      <c r="H80" t="inlineStr">
        <is>
          <t>DIGESTER</t>
        </is>
      </c>
      <c r="I80" t="inlineStr">
        <is>
          <t>metals-leach-train</t>
        </is>
      </c>
      <c r="J80" t="inlineStr">
        <is>
          <t>acid-base-regen</t>
        </is>
      </c>
      <c r="K80" t="inlineStr">
        <is>
          <t>evap_frame_len_mm</t>
        </is>
      </c>
    </row>
    <row r="81">
      <c r="A81" t="inlineStr">
        <is>
          <t>DIGESTER.metals-leach-train.acid-base-regen.evap_frame_min_w_mm</t>
        </is>
      </c>
      <c r="B81" s="4" t="n">
        <v>800</v>
      </c>
      <c r="C81" t="inlineStr">
        <is>
          <t>mm minimum frame width</t>
        </is>
      </c>
      <c r="D81" t="inlineStr">
        <is>
          <t>AQS-DUTY-060 Rev B frame</t>
        </is>
      </c>
      <c r="H81" t="inlineStr">
        <is>
          <t>DIGESTER</t>
        </is>
      </c>
      <c r="I81" t="inlineStr">
        <is>
          <t>metals-leach-train</t>
        </is>
      </c>
      <c r="J81" t="inlineStr">
        <is>
          <t>acid-base-regen</t>
        </is>
      </c>
      <c r="K81" t="inlineStr">
        <is>
          <t>evap_frame_min_w_mm</t>
        </is>
      </c>
    </row>
    <row r="82">
      <c r="A82" t="inlineStr">
        <is>
          <t>DIGESTER.metals-leach-train.acid-base-regen.evap_frame_wid_margin_mm</t>
        </is>
      </c>
      <c r="B82" s="4" t="n">
        <v>400</v>
      </c>
      <c r="C82" t="inlineStr">
        <is>
          <t>mm frame width allowance past the shell</t>
        </is>
      </c>
      <c r="D82" t="inlineStr">
        <is>
          <t>AQS-DUTY-060 Rev B frame</t>
        </is>
      </c>
      <c r="H82" t="inlineStr">
        <is>
          <t>DIGESTER</t>
        </is>
      </c>
      <c r="I82" t="inlineStr">
        <is>
          <t>metals-leach-train</t>
        </is>
      </c>
      <c r="J82" t="inlineStr">
        <is>
          <t>acid-base-regen</t>
        </is>
      </c>
      <c r="K82" t="inlineStr">
        <is>
          <t>evap_frame_wid_margin_mm</t>
        </is>
      </c>
    </row>
    <row r="83">
      <c r="A83" t="inlineStr">
        <is>
          <t>DIGESTER.metals-leach-train.acid-base-regen.evap_head_h_mm</t>
        </is>
      </c>
      <c r="B83" s="4" t="n">
        <v>300</v>
      </c>
      <c r="C83" t="inlineStr">
        <is>
          <t>mm tube-sheet head allowance in vessel height</t>
        </is>
      </c>
      <c r="E83" t="inlineStr">
        <is>
          <t>A-M-107</t>
        </is>
      </c>
      <c r="H83" t="inlineStr">
        <is>
          <t>DIGESTER</t>
        </is>
      </c>
      <c r="I83" t="inlineStr">
        <is>
          <t>metals-leach-train</t>
        </is>
      </c>
      <c r="J83" t="inlineStr">
        <is>
          <t>acid-base-regen</t>
        </is>
      </c>
      <c r="K83" t="inlineStr">
        <is>
          <t>evap_head_h_mm</t>
        </is>
      </c>
    </row>
    <row r="84">
      <c r="A84" t="inlineStr">
        <is>
          <t>DIGESTER.metals-leach-train.acid-base-regen.evap_latent_kJ_kg</t>
        </is>
      </c>
      <c r="B84" s="4" t="n">
        <v>2257</v>
      </c>
      <c r="C84" t="inlineStr">
        <is>
          <t>kJ/kg water latent heat at 100 C</t>
        </is>
      </c>
      <c r="D84" t="inlineStr">
        <is>
          <t>IAPWS_IF97</t>
        </is>
      </c>
      <c r="H84" t="inlineStr">
        <is>
          <t>DIGESTER</t>
        </is>
      </c>
      <c r="I84" t="inlineStr">
        <is>
          <t>metals-leach-train</t>
        </is>
      </c>
      <c r="J84" t="inlineStr">
        <is>
          <t>acid-base-regen</t>
        </is>
      </c>
      <c r="K84" t="inlineStr">
        <is>
          <t>evap_latent_kJ_kg</t>
        </is>
      </c>
    </row>
    <row r="85">
      <c r="A85" t="inlineStr">
        <is>
          <t>DIGESTER.metals-leach-train.acid-base-regen.evap_liquor_rho_kg_m3</t>
        </is>
      </c>
      <c r="B85" s="4" t="n">
        <v>1100</v>
      </c>
      <c r="C85" t="inlineStr">
        <is>
          <t>kg/m3 liquor through the recirculation pump</t>
        </is>
      </c>
      <c r="E85" t="inlineStr">
        <is>
          <t>A-M-029 (dilute HCl with dissolved metal chlorides)</t>
        </is>
      </c>
      <c r="H85" t="inlineStr">
        <is>
          <t>DIGESTER</t>
        </is>
      </c>
      <c r="I85" t="inlineStr">
        <is>
          <t>metals-leach-train</t>
        </is>
      </c>
      <c r="J85" t="inlineStr">
        <is>
          <t>acid-base-regen</t>
        </is>
      </c>
      <c r="K85" t="inlineStr">
        <is>
          <t>evap_liquor_rho_kg_m3</t>
        </is>
      </c>
    </row>
    <row r="86">
      <c r="A86" t="inlineStr">
        <is>
          <t>DIGESTER.metals-leach-train.acid-base-regen.evap_psv_orifice_D_in2</t>
        </is>
      </c>
      <c r="B86" s="4" t="n">
        <v>0.11</v>
      </c>
      <c r="C86" t="inlineStr">
        <is>
          <t>in2 API 526 orifice D area</t>
        </is>
      </c>
      <c r="D86" t="inlineStr">
        <is>
          <t>API526</t>
        </is>
      </c>
      <c r="H86" t="inlineStr">
        <is>
          <t>DIGESTER</t>
        </is>
      </c>
      <c r="I86" t="inlineStr">
        <is>
          <t>metals-leach-train</t>
        </is>
      </c>
      <c r="J86" t="inlineStr">
        <is>
          <t>acid-base-regen</t>
        </is>
      </c>
      <c r="K86" t="inlineStr">
        <is>
          <t>evap_psv_orifice_D_in2</t>
        </is>
      </c>
    </row>
    <row r="87">
      <c r="A87" t="inlineStr">
        <is>
          <t>DIGESTER.metals-leach-train.acid-base-regen.evap_pump_eta</t>
        </is>
      </c>
      <c r="B87" s="4" t="n">
        <v>0.4</v>
      </c>
      <c r="C87" t="inlineStr">
        <is>
          <t>- recirculation pump efficiency</t>
        </is>
      </c>
      <c r="E87" t="inlineStr">
        <is>
          <t>A-M-106</t>
        </is>
      </c>
      <c r="H87" t="inlineStr">
        <is>
          <t>DIGESTER</t>
        </is>
      </c>
      <c r="I87" t="inlineStr">
        <is>
          <t>metals-leach-train</t>
        </is>
      </c>
      <c r="J87" t="inlineStr">
        <is>
          <t>acid-base-regen</t>
        </is>
      </c>
      <c r="K87" t="inlineStr">
        <is>
          <t>evap_pump_eta</t>
        </is>
      </c>
    </row>
    <row r="88">
      <c r="A88" t="inlineStr">
        <is>
          <t>DIGESTER.metals-leach-train.acid-base-regen.evap_pump_head_m</t>
        </is>
      </c>
      <c r="B88" s="4" t="n">
        <v>4</v>
      </c>
      <c r="C88" t="inlineStr">
        <is>
          <t>m recirculation pump head</t>
        </is>
      </c>
      <c r="E88" t="inlineStr">
        <is>
          <t>A-M-106 (evaporator operating basis)</t>
        </is>
      </c>
      <c r="H88" t="inlineStr">
        <is>
          <t>DIGESTER</t>
        </is>
      </c>
      <c r="I88" t="inlineStr">
        <is>
          <t>metals-leach-train</t>
        </is>
      </c>
      <c r="J88" t="inlineStr">
        <is>
          <t>acid-base-regen</t>
        </is>
      </c>
      <c r="K88" t="inlineStr">
        <is>
          <t>evap_pump_head_m</t>
        </is>
      </c>
    </row>
    <row r="89">
      <c r="A89" t="inlineStr">
        <is>
          <t>DIGESTER.metals-leach-train.acid-base-regen.evap_separator_h_mm</t>
        </is>
      </c>
      <c r="B89" s="4" t="n">
        <v>900</v>
      </c>
      <c r="C89" t="inlineStr">
        <is>
          <t>mm vapour separator allowance in vessel height</t>
        </is>
      </c>
      <c r="E89" t="inlineStr">
        <is>
          <t>A-M-107</t>
        </is>
      </c>
      <c r="H89" t="inlineStr">
        <is>
          <t>DIGESTER</t>
        </is>
      </c>
      <c r="I89" t="inlineStr">
        <is>
          <t>metals-leach-train</t>
        </is>
      </c>
      <c r="J89" t="inlineStr">
        <is>
          <t>acid-base-regen</t>
        </is>
      </c>
      <c r="K89" t="inlineStr">
        <is>
          <t>evap_separator_h_mm</t>
        </is>
      </c>
    </row>
    <row r="90">
      <c r="A90" t="inlineStr">
        <is>
          <t>DIGESTER.metals-leach-train.acid-base-regen.evap_shell_pitch_allowance</t>
        </is>
      </c>
      <c r="B90" s="4" t="n">
        <v>2</v>
      </c>
      <c r="C90" t="inlineStr">
        <is>
          <t>- shell allowance in tube pitches beyond the bundle</t>
        </is>
      </c>
      <c r="E90" t="inlineStr">
        <is>
          <t>A-M-107</t>
        </is>
      </c>
      <c r="H90" t="inlineStr">
        <is>
          <t>DIGESTER</t>
        </is>
      </c>
      <c r="I90" t="inlineStr">
        <is>
          <t>metals-leach-train</t>
        </is>
      </c>
      <c r="J90" t="inlineStr">
        <is>
          <t>acid-base-regen</t>
        </is>
      </c>
      <c r="K90" t="inlineStr">
        <is>
          <t>evap_shell_pitch_allowance</t>
        </is>
      </c>
    </row>
    <row r="91">
      <c r="A91" t="inlineStr">
        <is>
          <t>DIGESTER.metals-leach-train.acid-base-regen.evap_tube_pitch_ratio</t>
        </is>
      </c>
      <c r="B91" s="4" t="n">
        <v>1.25</v>
      </c>
      <c r="C91" t="inlineStr">
        <is>
          <t>- tube pitch over tube OD (triangular)</t>
        </is>
      </c>
      <c r="E91" t="inlineStr">
        <is>
          <t>A-M-107 (evaporator geometry)</t>
        </is>
      </c>
      <c r="H91" t="inlineStr">
        <is>
          <t>DIGESTER</t>
        </is>
      </c>
      <c r="I91" t="inlineStr">
        <is>
          <t>metals-leach-train</t>
        </is>
      </c>
      <c r="J91" t="inlineStr">
        <is>
          <t>acid-base-regen</t>
        </is>
      </c>
      <c r="K91" t="inlineStr">
        <is>
          <t>evap_tube_pitch_ratio</t>
        </is>
      </c>
    </row>
    <row r="92">
      <c r="A92" t="inlineStr">
        <is>
          <t>DIGESTER.metals-leach-train.acid-base-regen.evap_tube_wall_mm</t>
        </is>
      </c>
      <c r="B92" s="4" t="n">
        <v>6</v>
      </c>
      <c r="C92" t="inlineStr">
        <is>
          <t>mm graphite tube wall (2 mm Ni on the base unit)</t>
        </is>
      </c>
      <c r="E92" t="inlineStr">
        <is>
          <t>A-M-107</t>
        </is>
      </c>
      <c r="H92" t="inlineStr">
        <is>
          <t>DIGESTER</t>
        </is>
      </c>
      <c r="I92" t="inlineStr">
        <is>
          <t>metals-leach-train</t>
        </is>
      </c>
      <c r="J92" t="inlineStr">
        <is>
          <t>acid-base-regen</t>
        </is>
      </c>
      <c r="K92" t="inlineStr">
        <is>
          <t>evap_tube_wall_mm</t>
        </is>
      </c>
    </row>
    <row r="93">
      <c r="A93" t="inlineStr">
        <is>
          <t>DIGESTER.metals-leach-train.brine-loop.LEACH_CSTR_1.belt_h_mm</t>
        </is>
      </c>
      <c r="B93" s="4" t="n">
        <v>203</v>
      </c>
      <c r="C93" t="inlineStr">
        <is>
          <t>mm FRP channel depth</t>
        </is>
      </c>
      <c r="E93" t="inlineStr">
        <is>
          <t>A-M-034</t>
        </is>
      </c>
      <c r="H93" t="inlineStr">
        <is>
          <t>DIGESTER</t>
        </is>
      </c>
      <c r="I93" t="inlineStr">
        <is>
          <t>metals-leach-train</t>
        </is>
      </c>
      <c r="J93" t="inlineStr">
        <is>
          <t>brine-loop</t>
        </is>
      </c>
      <c r="K93" t="inlineStr">
        <is>
          <t>LEACH_CSTR_1</t>
        </is>
      </c>
      <c r="L93" t="inlineStr">
        <is>
          <t>belt_h_mm</t>
        </is>
      </c>
    </row>
    <row r="94">
      <c r="A94" t="inlineStr">
        <is>
          <t>DIGESTER.metals-leach-train.brine-loop.LEACH_CSTR_1.belt_web_mm</t>
        </is>
      </c>
      <c r="B94" s="4" t="n">
        <v>56</v>
      </c>
      <c r="C94" t="inlineStr">
        <is>
          <t>mm FRP channel web on the wall</t>
        </is>
      </c>
      <c r="E94" t="inlineStr">
        <is>
          <t>A-M-034 (pultruded channel C203x56x6.4)</t>
        </is>
      </c>
      <c r="H94" t="inlineStr">
        <is>
          <t>DIGESTER</t>
        </is>
      </c>
      <c r="I94" t="inlineStr">
        <is>
          <t>metals-leach-train</t>
        </is>
      </c>
      <c r="J94" t="inlineStr">
        <is>
          <t>brine-loop</t>
        </is>
      </c>
      <c r="K94" t="inlineStr">
        <is>
          <t>LEACH_CSTR_1</t>
        </is>
      </c>
      <c r="L94" t="inlineStr">
        <is>
          <t>belt_web_mm</t>
        </is>
      </c>
    </row>
    <row r="95">
      <c r="A95" t="inlineStr">
        <is>
          <t>DIGESTER.metals-leach-train.brine-loop.LEACH_CSTR_1.belt_web_t_mm</t>
        </is>
      </c>
      <c r="B95" s="4" t="n">
        <v>6.4</v>
      </c>
      <c r="C95" t="inlineStr">
        <is>
          <t>mm FRP channel web thickness</t>
        </is>
      </c>
      <c r="E95" t="inlineStr">
        <is>
          <t>A-M-034</t>
        </is>
      </c>
      <c r="H95" t="inlineStr">
        <is>
          <t>DIGESTER</t>
        </is>
      </c>
      <c r="I95" t="inlineStr">
        <is>
          <t>metals-leach-train</t>
        </is>
      </c>
      <c r="J95" t="inlineStr">
        <is>
          <t>brine-loop</t>
        </is>
      </c>
      <c r="K95" t="inlineStr">
        <is>
          <t>LEACH_CSTR_1</t>
        </is>
      </c>
      <c r="L95" t="inlineStr">
        <is>
          <t>belt_web_t_mm</t>
        </is>
      </c>
    </row>
    <row r="96">
      <c r="A96" t="inlineStr">
        <is>
          <t>DIGESTER.metals-leach-train.brine-loop.LEACH_CSTR_1.belt_z_mm</t>
        </is>
      </c>
      <c r="B96" s="4" t="inlineStr">
        <is>
          <t>[300,560,900]</t>
        </is>
      </c>
      <c r="C96" t="inlineStr">
        <is>
          <t>mm belt centre heights Z</t>
        </is>
      </c>
      <c r="D96" t="inlineStr">
        <is>
          <t>AQS-DUTY-050 Rev B belt layout (panels between belts)</t>
        </is>
      </c>
      <c r="H96" t="inlineStr">
        <is>
          <t>DIGESTER</t>
        </is>
      </c>
      <c r="I96" t="inlineStr">
        <is>
          <t>metals-leach-train</t>
        </is>
      </c>
      <c r="J96" t="inlineStr">
        <is>
          <t>brine-loop</t>
        </is>
      </c>
      <c r="K96" t="inlineStr">
        <is>
          <t>LEACH_CSTR_1</t>
        </is>
      </c>
      <c r="L96" t="inlineStr">
        <is>
          <t>belt_z_mm</t>
        </is>
      </c>
    </row>
    <row r="97">
      <c r="A97" t="inlineStr">
        <is>
          <t>DIGESTER.metals-leach-train.brine-loop.LEACH_CSTR_1.cpvc_creep_E_MPa</t>
        </is>
      </c>
      <c r="B97" s="4" t="n">
        <v>700</v>
      </c>
      <c r="C97" t="inlineStr">
        <is>
          <t>MPa long-term creep modulus</t>
        </is>
      </c>
      <c r="E97" t="inlineStr">
        <is>
          <t>A-M-033</t>
        </is>
      </c>
      <c r="H97" t="inlineStr">
        <is>
          <t>DIGESTER</t>
        </is>
      </c>
      <c r="I97" t="inlineStr">
        <is>
          <t>metals-leach-train</t>
        </is>
      </c>
      <c r="J97" t="inlineStr">
        <is>
          <t>brine-loop</t>
        </is>
      </c>
      <c r="K97" t="inlineStr">
        <is>
          <t>LEACH_CSTR_1</t>
        </is>
      </c>
      <c r="L97" t="inlineStr">
        <is>
          <t>cpvc_creep_E_MPa</t>
        </is>
      </c>
    </row>
    <row r="98">
      <c r="A98" t="inlineStr">
        <is>
          <t>DIGESTER.metals-leach-train.brine-loop.LEACH_CSTR_1.cpvc_derate_85C</t>
        </is>
      </c>
      <c r="B98" s="4" t="n">
        <v>0.22</v>
      </c>
      <c r="C98" t="inlineStr">
        <is>
          <t>- strength derating at 85 C</t>
        </is>
      </c>
      <c r="E98" t="inlineStr">
        <is>
          <t>A-M-032 (interpolated from manufacturer temperature-derating tables)</t>
        </is>
      </c>
      <c r="H98" t="inlineStr">
        <is>
          <t>DIGESTER</t>
        </is>
      </c>
      <c r="I98" t="inlineStr">
        <is>
          <t>metals-leach-train</t>
        </is>
      </c>
      <c r="J98" t="inlineStr">
        <is>
          <t>brine-loop</t>
        </is>
      </c>
      <c r="K98" t="inlineStr">
        <is>
          <t>LEACH_CSTR_1</t>
        </is>
      </c>
      <c r="L98" t="inlineStr">
        <is>
          <t>cpvc_derate_85C</t>
        </is>
      </c>
    </row>
    <row r="99">
      <c r="A99" t="inlineStr">
        <is>
          <t>DIGESTER.metals-leach-train.brine-loop.LEACH_CSTR_1.cpvc_hds_psi</t>
        </is>
      </c>
      <c r="B99" s="4" t="n">
        <v>2000</v>
      </c>
      <c r="C99" t="inlineStr">
        <is>
          <t>psi hydrostatic design stress at 23 C</t>
        </is>
      </c>
      <c r="E99" t="inlineStr">
        <is>
          <t>A-M-032 (CPVC HDS basis)</t>
        </is>
      </c>
      <c r="H99" t="inlineStr">
        <is>
          <t>DIGESTER</t>
        </is>
      </c>
      <c r="I99" t="inlineStr">
        <is>
          <t>metals-leach-train</t>
        </is>
      </c>
      <c r="J99" t="inlineStr">
        <is>
          <t>brine-loop</t>
        </is>
      </c>
      <c r="K99" t="inlineStr">
        <is>
          <t>LEACH_CSTR_1</t>
        </is>
      </c>
      <c r="L99" t="inlineStr">
        <is>
          <t>cpvc_hds_psi</t>
        </is>
      </c>
    </row>
    <row r="100">
      <c r="A100" t="inlineStr">
        <is>
          <t>DIGESTER.metals-leach-train.brine-loop.LEACH_CSTR_1.envelope_mm</t>
        </is>
      </c>
      <c r="B100" s="4" t="inlineStr">
        <is>
          <t>[2000,1200,1400]</t>
        </is>
      </c>
      <c r="C100" t="inlineStr">
        <is>
          <t>mm L x W x H</t>
        </is>
      </c>
      <c r="D100" t="inlineStr">
        <is>
          <t>AQS-DUTY-050 Rev A model envelope (graph envelope kept)</t>
        </is>
      </c>
      <c r="H100" t="inlineStr">
        <is>
          <t>DIGESTER</t>
        </is>
      </c>
      <c r="I100" t="inlineStr">
        <is>
          <t>metals-leach-train</t>
        </is>
      </c>
      <c r="J100" t="inlineStr">
        <is>
          <t>brine-loop</t>
        </is>
      </c>
      <c r="K100" t="inlineStr">
        <is>
          <t>LEACH_CSTR_1</t>
        </is>
      </c>
      <c r="L100" t="inlineStr">
        <is>
          <t>envelope_mm</t>
        </is>
      </c>
    </row>
    <row r="101">
      <c r="A101" t="inlineStr">
        <is>
          <t>DIGESTER.metals-leach-train.brine-loop.LEACH_CSTR_1.frp_E_MPa</t>
        </is>
      </c>
      <c r="B101" s="4" t="n">
        <v>17200</v>
      </c>
      <c r="C101" t="inlineStr">
        <is>
          <t>MPa flexural modulus</t>
        </is>
      </c>
      <c r="E101" t="inlineStr">
        <is>
          <t>A-M-034 (E 17.2 GPa)</t>
        </is>
      </c>
      <c r="H101" t="inlineStr">
        <is>
          <t>DIGESTER</t>
        </is>
      </c>
      <c r="I101" t="inlineStr">
        <is>
          <t>metals-leach-train</t>
        </is>
      </c>
      <c r="J101" t="inlineStr">
        <is>
          <t>brine-loop</t>
        </is>
      </c>
      <c r="K101" t="inlineStr">
        <is>
          <t>LEACH_CSTR_1</t>
        </is>
      </c>
      <c r="L101" t="inlineStr">
        <is>
          <t>frp_E_MPa</t>
        </is>
      </c>
    </row>
    <row r="102">
      <c r="A102" t="inlineStr">
        <is>
          <t>DIGESTER.metals-leach-train.brine-loop.LEACH_CSTR_1.frp_allow_MPa</t>
        </is>
      </c>
      <c r="B102" s="4" t="n">
        <v>50</v>
      </c>
      <c r="C102" t="inlineStr">
        <is>
          <t>MPa allowable bending stress</t>
        </is>
      </c>
      <c r="E102" t="inlineStr">
        <is>
          <t>A-M-034</t>
        </is>
      </c>
      <c r="H102" t="inlineStr">
        <is>
          <t>DIGESTER</t>
        </is>
      </c>
      <c r="I102" t="inlineStr">
        <is>
          <t>metals-leach-train</t>
        </is>
      </c>
      <c r="J102" t="inlineStr">
        <is>
          <t>brine-loop</t>
        </is>
      </c>
      <c r="K102" t="inlineStr">
        <is>
          <t>LEACH_CSTR_1</t>
        </is>
      </c>
      <c r="L102" t="inlineStr">
        <is>
          <t>frp_allow_MPa</t>
        </is>
      </c>
    </row>
    <row r="103">
      <c r="A103" t="inlineStr">
        <is>
          <t>DIGESTER.metals-leach-train.brine-loop.LEACH_CSTR_1.header_zone_mm</t>
        </is>
      </c>
      <c r="B103" s="4" t="n">
        <v>60</v>
      </c>
      <c r="C103" t="inlineStr">
        <is>
          <t>mm per Y face</t>
        </is>
      </c>
      <c r="D103" t="inlineStr">
        <is>
          <t>AQS-DUTY-050 Rev A model header zone per Y face</t>
        </is>
      </c>
      <c r="H103" t="inlineStr">
        <is>
          <t>DIGESTER</t>
        </is>
      </c>
      <c r="I103" t="inlineStr">
        <is>
          <t>metals-leach-train</t>
        </is>
      </c>
      <c r="J103" t="inlineStr">
        <is>
          <t>brine-loop</t>
        </is>
      </c>
      <c r="K103" t="inlineStr">
        <is>
          <t>LEACH_CSTR_1</t>
        </is>
      </c>
      <c r="L103" t="inlineStr">
        <is>
          <t>header_zone_mm</t>
        </is>
      </c>
    </row>
    <row r="104">
      <c r="A104" t="inlineStr">
        <is>
          <t>DIGESTER.metals-leach-train.brine-loop.LEACH_CSTR_1.hot_draw_T_C</t>
        </is>
      </c>
      <c r="B104" s="4" t="n">
        <v>85</v>
      </c>
      <c r="C104" t="inlineStr">
        <is>
          <t>C hot liquor draw temperature (X-MAT-19 cooler inlet)</t>
        </is>
      </c>
      <c r="D104" t="inlineStr">
        <is>
          <t>AQS-DUTY-050 section 3 operating temperature (CPVC wall basis 85 C)</t>
        </is>
      </c>
      <c r="H104" t="inlineStr">
        <is>
          <t>DIGESTER</t>
        </is>
      </c>
      <c r="I104" t="inlineStr">
        <is>
          <t>metals-leach-train</t>
        </is>
      </c>
      <c r="J104" t="inlineStr">
        <is>
          <t>brine-loop</t>
        </is>
      </c>
      <c r="K104" t="inlineStr">
        <is>
          <t>LEACH_CSTR_1</t>
        </is>
      </c>
      <c r="L104" t="inlineStr">
        <is>
          <t>hot_draw_T_C</t>
        </is>
      </c>
    </row>
    <row r="105">
      <c r="A105" t="inlineStr">
        <is>
          <t>DIGESTER.metals-leach-train.brine-loop.LEACH_CSTR_1.imp_D_m</t>
        </is>
      </c>
      <c r="B105" s="4" t="n">
        <v>0.45</v>
      </c>
      <c r="C105" t="inlineStr">
        <is>
          <t>m impeller diameter</t>
        </is>
      </c>
      <c r="E105" t="inlineStr">
        <is>
          <t>A-M-031 (PBT 4-blade 45 deg, D 450 mm, 150 rpm)</t>
        </is>
      </c>
      <c r="H105" t="inlineStr">
        <is>
          <t>DIGESTER</t>
        </is>
      </c>
      <c r="I105" t="inlineStr">
        <is>
          <t>metals-leach-train</t>
        </is>
      </c>
      <c r="J105" t="inlineStr">
        <is>
          <t>brine-loop</t>
        </is>
      </c>
      <c r="K105" t="inlineStr">
        <is>
          <t>LEACH_CSTR_1</t>
        </is>
      </c>
      <c r="L105" t="inlineStr">
        <is>
          <t>imp_D_m</t>
        </is>
      </c>
    </row>
    <row r="106">
      <c r="A106" t="inlineStr">
        <is>
          <t>DIGESTER.metals-leach-train.brine-loop.LEACH_CSTR_1.imp_N_rpm</t>
        </is>
      </c>
      <c r="B106" s="4" t="n">
        <v>150</v>
      </c>
      <c r="C106" t="inlineStr">
        <is>
          <t>rpm</t>
        </is>
      </c>
      <c r="E106" t="inlineStr">
        <is>
          <t>A-M-031</t>
        </is>
      </c>
      <c r="H106" t="inlineStr">
        <is>
          <t>DIGESTER</t>
        </is>
      </c>
      <c r="I106" t="inlineStr">
        <is>
          <t>metals-leach-train</t>
        </is>
      </c>
      <c r="J106" t="inlineStr">
        <is>
          <t>brine-loop</t>
        </is>
      </c>
      <c r="K106" t="inlineStr">
        <is>
          <t>LEACH_CSTR_1</t>
        </is>
      </c>
      <c r="L106" t="inlineStr">
        <is>
          <t>imp_N_rpm</t>
        </is>
      </c>
    </row>
    <row r="107">
      <c r="A107" t="inlineStr">
        <is>
          <t>DIGESTER.metals-leach-train.brine-loop.LEACH_CSTR_1.imp_Np</t>
        </is>
      </c>
      <c r="B107" s="4" t="n">
        <v>1.27</v>
      </c>
      <c r="C107" t="inlineStr">
        <is>
          <t>- turbulent power number</t>
        </is>
      </c>
      <c r="D107" t="inlineStr">
        <is>
          <t>PERRY9_MIX</t>
        </is>
      </c>
      <c r="H107" t="inlineStr">
        <is>
          <t>DIGESTER</t>
        </is>
      </c>
      <c r="I107" t="inlineStr">
        <is>
          <t>metals-leach-train</t>
        </is>
      </c>
      <c r="J107" t="inlineStr">
        <is>
          <t>brine-loop</t>
        </is>
      </c>
      <c r="K107" t="inlineStr">
        <is>
          <t>LEACH_CSTR_1</t>
        </is>
      </c>
      <c r="L107" t="inlineStr">
        <is>
          <t>imp_Np</t>
        </is>
      </c>
    </row>
    <row r="108">
      <c r="A108" t="inlineStr">
        <is>
          <t>DIGESTER.metals-leach-train.brine-loop.LEACH_CSTR_1.level_mm</t>
        </is>
      </c>
      <c r="B108" s="4" t="n">
        <v>1100</v>
      </c>
      <c r="C108" t="inlineStr">
        <is>
          <t>mm working liquor level</t>
        </is>
      </c>
      <c r="E108" t="inlineStr">
        <is>
          <t>A-M-030 (leaves 288 mm freeboard below the lid)</t>
        </is>
      </c>
      <c r="H108" t="inlineStr">
        <is>
          <t>DIGESTER</t>
        </is>
      </c>
      <c r="I108" t="inlineStr">
        <is>
          <t>metals-leach-train</t>
        </is>
      </c>
      <c r="J108" t="inlineStr">
        <is>
          <t>brine-loop</t>
        </is>
      </c>
      <c r="K108" t="inlineStr">
        <is>
          <t>LEACH_CSTR_1</t>
        </is>
      </c>
      <c r="L108" t="inlineStr">
        <is>
          <t>level_mm</t>
        </is>
      </c>
    </row>
    <row r="109">
      <c r="A109" t="inlineStr">
        <is>
          <t>DIGESTER.metals-leach-train.brine-loop.LEACH_CSTR_1.liquor_rho_kg_m3</t>
        </is>
      </c>
      <c r="B109" s="4" t="n">
        <v>1100</v>
      </c>
      <c r="C109" t="inlineStr">
        <is>
          <t>kg/m3</t>
        </is>
      </c>
      <c r="E109" t="inlineStr">
        <is>
          <t>A-M-029 (dilute HCl with dissolved metal chlorides)</t>
        </is>
      </c>
      <c r="H109" t="inlineStr">
        <is>
          <t>DIGESTER</t>
        </is>
      </c>
      <c r="I109" t="inlineStr">
        <is>
          <t>metals-leach-train</t>
        </is>
      </c>
      <c r="J109" t="inlineStr">
        <is>
          <t>brine-loop</t>
        </is>
      </c>
      <c r="K109" t="inlineStr">
        <is>
          <t>LEACH_CSTR_1</t>
        </is>
      </c>
      <c r="L109" t="inlineStr">
        <is>
          <t>liquor_rho_kg_m3</t>
        </is>
      </c>
    </row>
    <row r="110">
      <c r="A110" t="inlineStr">
        <is>
          <t>DIGESTER.metals-leach-train.brine-loop.LEACH_CSTR_1.motor_kW</t>
        </is>
      </c>
      <c r="B110" s="4" t="n">
        <v>0.75</v>
      </c>
      <c r="C110" t="inlineStr">
        <is>
          <t>kW gearmotor nameplate</t>
        </is>
      </c>
      <c r="E110" t="inlineStr">
        <is>
          <t>A-M-035 (shaft 403 W with gear, motor losses and start margin)</t>
        </is>
      </c>
      <c r="H110" t="inlineStr">
        <is>
          <t>DIGESTER</t>
        </is>
      </c>
      <c r="I110" t="inlineStr">
        <is>
          <t>metals-leach-train</t>
        </is>
      </c>
      <c r="J110" t="inlineStr">
        <is>
          <t>brine-loop</t>
        </is>
      </c>
      <c r="K110" t="inlineStr">
        <is>
          <t>LEACH_CSTR_1</t>
        </is>
      </c>
      <c r="L110" t="inlineStr">
        <is>
          <t>motor_kW</t>
        </is>
      </c>
    </row>
    <row r="111">
      <c r="A111" t="inlineStr">
        <is>
          <t>DIGESTER.metals-leach-train.brine-loop.LEACH_CSTR_1.wall_mm</t>
        </is>
      </c>
      <c r="B111" s="4" t="n">
        <v>16</v>
      </c>
      <c r="C111" t="inlineStr">
        <is>
          <t>mm CPVC wall</t>
        </is>
      </c>
      <c r="D111" t="inlineStr">
        <is>
          <t>AQS-DUTY-050 Rev B wall sizing (16 mm against the A-M-032 allowable)</t>
        </is>
      </c>
      <c r="H111" t="inlineStr">
        <is>
          <t>DIGESTER</t>
        </is>
      </c>
      <c r="I111" t="inlineStr">
        <is>
          <t>metals-leach-train</t>
        </is>
      </c>
      <c r="J111" t="inlineStr">
        <is>
          <t>brine-loop</t>
        </is>
      </c>
      <c r="K111" t="inlineStr">
        <is>
          <t>LEACH_CSTR_1</t>
        </is>
      </c>
      <c r="L111" t="inlineStr">
        <is>
          <t>wall_mm</t>
        </is>
      </c>
    </row>
    <row r="112">
      <c r="A112" t="inlineStr">
        <is>
          <t>DIGESTER.metals-leach-train.htc_header_P_bar</t>
        </is>
      </c>
      <c r="B112" s="4" t="n">
        <v>15.55</v>
      </c>
      <c r="C112" t="inlineStr">
        <is>
          <t>bar a</t>
        </is>
      </c>
      <c r="E112" t="inlineStr">
        <is>
          <t>A-M-269</t>
        </is>
      </c>
      <c r="F112" t="b">
        <v>1</v>
      </c>
      <c r="G112" t="inlineStr">
        <is>
          <t>steam heater design pressure vs heater duty sheet</t>
        </is>
      </c>
      <c r="H112" t="inlineStr">
        <is>
          <t>DIGESTER</t>
        </is>
      </c>
      <c r="I112" t="inlineStr">
        <is>
          <t>metals-leach-train</t>
        </is>
      </c>
      <c r="J112" t="inlineStr">
        <is>
          <t>htc_header_P_bar</t>
        </is>
      </c>
    </row>
    <row r="113">
      <c r="A113" t="inlineStr">
        <is>
          <t>DIGESTER.metals-leach-train.htc_header_T_K</t>
        </is>
      </c>
      <c r="B113" s="4" t="n">
        <v>473.15</v>
      </c>
      <c r="C113" t="inlineStr">
        <is>
          <t>K</t>
        </is>
      </c>
      <c r="E113" t="inlineStr">
        <is>
          <t>A-M-269</t>
        </is>
      </c>
      <c r="F113" t="b">
        <v>1</v>
      </c>
      <c r="G113" t="inlineStr">
        <is>
          <t>steam heater temperature vs duty sheet</t>
        </is>
      </c>
      <c r="H113" t="inlineStr">
        <is>
          <t>DIGESTER</t>
        </is>
      </c>
      <c r="I113" t="inlineStr">
        <is>
          <t>metals-leach-train</t>
        </is>
      </c>
      <c r="J113" t="inlineStr">
        <is>
          <t>htc_header_T_K</t>
        </is>
      </c>
    </row>
    <row r="114">
      <c r="A114" t="inlineStr">
        <is>
          <t>ELEC.distribution-train.RECTIFIER.ref_case_CE</t>
        </is>
      </c>
      <c r="B114" s="4" t="n">
        <v>0.8</v>
      </c>
      <c r="C114" t="inlineStr">
        <is>
          <t>- current efficiency in the reference (element-current) case</t>
        </is>
      </c>
      <c r="E114" t="inlineStr">
        <is>
          <t>AQS-ELEC-007 reference case</t>
        </is>
      </c>
      <c r="H114" t="inlineStr">
        <is>
          <t>ELEC</t>
        </is>
      </c>
      <c r="I114" t="inlineStr">
        <is>
          <t>distribution-train</t>
        </is>
      </c>
      <c r="J114" t="inlineStr">
        <is>
          <t>RECTIFIER</t>
        </is>
      </c>
      <c r="K114" t="inlineStr">
        <is>
          <t>ref_case_CE</t>
        </is>
      </c>
    </row>
    <row r="115">
      <c r="A115" t="inlineStr">
        <is>
          <t>ELEC.distribution-train.RECTIFIER.ref_case_cell_V</t>
        </is>
      </c>
      <c r="B115" s="4" t="n">
        <v>2.8</v>
      </c>
      <c r="C115" t="inlineStr">
        <is>
          <t>V per EW cell in the reference (element-current) case</t>
        </is>
      </c>
      <c r="E115" t="inlineStr">
        <is>
          <t>AQS-ELEC-007 reference case</t>
        </is>
      </c>
      <c r="H115" t="inlineStr">
        <is>
          <t>ELEC</t>
        </is>
      </c>
      <c r="I115" t="inlineStr">
        <is>
          <t>distribution-train</t>
        </is>
      </c>
      <c r="J115" t="inlineStr">
        <is>
          <t>RECTIFIER</t>
        </is>
      </c>
      <c r="K115" t="inlineStr">
        <is>
          <t>ref_case_cell_V</t>
        </is>
      </c>
    </row>
    <row r="116">
      <c r="A116" t="inlineStr">
        <is>
          <t>ELEC.distribution-train.SOL_ARK_60K.bus_V</t>
        </is>
      </c>
      <c r="B116" s="4" t="n">
        <v>480</v>
      </c>
      <c r="C116" t="inlineStr">
        <is>
          <t>V three-phase low-voltage bus</t>
        </is>
      </c>
      <c r="E116" t="inlineStr">
        <is>
          <t>A-M-152 (X-RED-03 main-tie-main 480 V bus)</t>
        </is>
      </c>
      <c r="H116" t="inlineStr">
        <is>
          <t>ELEC</t>
        </is>
      </c>
      <c r="I116" t="inlineStr">
        <is>
          <t>distribution-train</t>
        </is>
      </c>
      <c r="J116" t="inlineStr">
        <is>
          <t>SOL_ARK_60K</t>
        </is>
      </c>
      <c r="K116" t="inlineStr">
        <is>
          <t>bus_V</t>
        </is>
      </c>
    </row>
    <row r="117">
      <c r="A117" t="inlineStr">
        <is>
          <t>ELEC.distribution-train.SOL_ARK_60K.cb_bus_V</t>
        </is>
      </c>
      <c r="B117" s="4" t="n">
        <v>480</v>
      </c>
      <c r="C117" t="inlineStr">
        <is>
          <t>V plant AC bus (inverter output sections)</t>
        </is>
      </c>
      <c r="E117" t="inlineStr">
        <is>
          <t>AQS-ELEC-002 480 V bus</t>
        </is>
      </c>
      <c r="H117" t="inlineStr">
        <is>
          <t>ELEC</t>
        </is>
      </c>
      <c r="I117" t="inlineStr">
        <is>
          <t>distribution-train</t>
        </is>
      </c>
      <c r="J117" t="inlineStr">
        <is>
          <t>SOL_ARK_60K</t>
        </is>
      </c>
      <c r="K117" t="inlineStr">
        <is>
          <t>cb_bus_V</t>
        </is>
      </c>
    </row>
    <row r="118">
      <c r="A118" t="inlineStr">
        <is>
          <t>ELEC.distribution-train.SOL_ARK_60K.cb_mv_fuse_A</t>
        </is>
      </c>
      <c r="B118" s="4" t="inlineStr">
        <is>
          <t>[10,15,20,25,30,40,50,65,80,100]</t>
        </is>
      </c>
      <c r="C118" t="inlineStr">
        <is>
          <t>A MV fuse ladder</t>
        </is>
      </c>
      <c r="E118" t="inlineStr">
        <is>
          <t>A-M-114</t>
        </is>
      </c>
      <c r="H118" t="inlineStr">
        <is>
          <t>ELEC</t>
        </is>
      </c>
      <c r="I118" t="inlineStr">
        <is>
          <t>distribution-train</t>
        </is>
      </c>
      <c r="J118" t="inlineStr">
        <is>
          <t>SOL_ARK_60K</t>
        </is>
      </c>
      <c r="K118" t="inlineStr">
        <is>
          <t>cb_mv_fuse_A</t>
        </is>
      </c>
    </row>
    <row r="119">
      <c r="A119" t="inlineStr">
        <is>
          <t>ELEC.distribution-train.SOL_ARK_60K.cb_mv_fuse_margin</t>
        </is>
      </c>
      <c r="B119" s="4" t="n">
        <v>1.5</v>
      </c>
      <c r="C119" t="inlineStr">
        <is>
          <t>- MV fuse sized at 150 % of the section MV current</t>
        </is>
      </c>
      <c r="E119" t="inlineStr">
        <is>
          <t>A-M-114</t>
        </is>
      </c>
      <c r="H119" t="inlineStr">
        <is>
          <t>ELEC</t>
        </is>
      </c>
      <c r="I119" t="inlineStr">
        <is>
          <t>distribution-train</t>
        </is>
      </c>
      <c r="J119" t="inlineStr">
        <is>
          <t>SOL_ARK_60K</t>
        </is>
      </c>
      <c r="K119" t="inlineStr">
        <is>
          <t>cb_mv_fuse_margin</t>
        </is>
      </c>
    </row>
    <row r="120">
      <c r="A120" t="inlineStr">
        <is>
          <t>ELEC.distribution-train.SOL_ARK_60K.cb_std_breaker_A</t>
        </is>
      </c>
      <c r="B120" s="4" t="inlineStr">
        <is>
          <t>[100,125,150,175,200,225,250,300,350,400,450,500,600,700,800,1000,1200,1600,2000,2500,3000,4000,5000,6000]</t>
        </is>
      </c>
      <c r="C120" t="inlineStr">
        <is>
          <t>A standard breaker sizes</t>
        </is>
      </c>
      <c r="D120" t="inlineStr">
        <is>
          <t>NEC2023</t>
        </is>
      </c>
      <c r="H120" t="inlineStr">
        <is>
          <t>ELEC</t>
        </is>
      </c>
      <c r="I120" t="inlineStr">
        <is>
          <t>distribution-train</t>
        </is>
      </c>
      <c r="J120" t="inlineStr">
        <is>
          <t>SOL_ARK_60K</t>
        </is>
      </c>
      <c r="K120" t="inlineStr">
        <is>
          <t>cb_std_breaker_A</t>
        </is>
      </c>
    </row>
    <row r="121">
      <c r="A121" t="inlineStr">
        <is>
          <t>ELEC.distribution-train.SOL_ARK_60K.cb_std_kVA</t>
        </is>
      </c>
      <c r="B121" s="4" t="inlineStr">
        <is>
          <t>[75,112.5,150,225,300,500,750,1000,1500,2000,2500]</t>
        </is>
      </c>
      <c r="C121" t="inlineStr">
        <is>
          <t>kVA standard pad-mount transformer ratings</t>
        </is>
      </c>
      <c r="D121" t="inlineStr">
        <is>
          <t>IEEE_C57_12_34</t>
        </is>
      </c>
      <c r="H121" t="inlineStr">
        <is>
          <t>ELEC</t>
        </is>
      </c>
      <c r="I121" t="inlineStr">
        <is>
          <t>distribution-train</t>
        </is>
      </c>
      <c r="J121" t="inlineStr">
        <is>
          <t>SOL_ARK_60K</t>
        </is>
      </c>
      <c r="K121" t="inlineStr">
        <is>
          <t>cb_std_kVA</t>
        </is>
      </c>
    </row>
    <row r="122">
      <c r="A122" t="inlineStr">
        <is>
          <t>ELEC.distribution-train.SOL_ARK_60K.nec_240_6_ratings_A</t>
        </is>
      </c>
      <c r="B122" s="4" t="inlineStr">
        <is>
          <t>[100,125,150,175,200,225,250,300,350,400,450,500,600,700,800,1000,1200,1600,2000]</t>
        </is>
      </c>
      <c r="C122" t="inlineStr">
        <is>
          <t>A standard ampere ratings for fuses and inverse-time breakers</t>
        </is>
      </c>
      <c r="D122" t="inlineStr">
        <is>
          <t>NEC2023_240</t>
        </is>
      </c>
      <c r="H122" t="inlineStr">
        <is>
          <t>ELEC</t>
        </is>
      </c>
      <c r="I122" t="inlineStr">
        <is>
          <t>distribution-train</t>
        </is>
      </c>
      <c r="J122" t="inlineStr">
        <is>
          <t>SOL_ARK_60K</t>
        </is>
      </c>
      <c r="K122" t="inlineStr">
        <is>
          <t>nec_240_6_ratings_A</t>
        </is>
      </c>
    </row>
    <row r="123">
      <c r="A123" t="inlineStr">
        <is>
          <t>ELEC.distribution-train.gnd_depth_m</t>
        </is>
      </c>
      <c r="B123" s="4" t="n">
        <v>0.75</v>
      </c>
      <c r="C123" t="inlineStr">
        <is>
          <t>m grid burial depth</t>
        </is>
      </c>
      <c r="E123" t="inlineStr">
        <is>
          <t>A-M-110</t>
        </is>
      </c>
      <c r="H123" t="inlineStr">
        <is>
          <t>ELEC</t>
        </is>
      </c>
      <c r="I123" t="inlineStr">
        <is>
          <t>distribution-train</t>
        </is>
      </c>
      <c r="J123" t="inlineStr">
        <is>
          <t>gnd_depth_m</t>
        </is>
      </c>
    </row>
    <row r="124">
      <c r="A124" t="inlineStr">
        <is>
          <t>ELEC.distribution-train.gnd_mesh_spacing_m</t>
        </is>
      </c>
      <c r="B124" s="4" t="n">
        <v>12</v>
      </c>
      <c r="C124" t="inlineStr">
        <is>
          <t>m mesh spacing (every second 6 m column line)</t>
        </is>
      </c>
      <c r="E124" t="inlineStr">
        <is>
          <t>A-M-110</t>
        </is>
      </c>
      <c r="H124" t="inlineStr">
        <is>
          <t>ELEC</t>
        </is>
      </c>
      <c r="I124" t="inlineStr">
        <is>
          <t>distribution-train</t>
        </is>
      </c>
      <c r="J124" t="inlineStr">
        <is>
          <t>gnd_mesh_spacing_m</t>
        </is>
      </c>
    </row>
    <row r="125">
      <c r="A125" t="inlineStr">
        <is>
          <t>ELEC.distribution-train.gnd_rod_L_m</t>
        </is>
      </c>
      <c r="B125" s="4" t="n">
        <v>3</v>
      </c>
      <c r="C125" t="inlineStr">
        <is>
          <t>m ground-rod length</t>
        </is>
      </c>
      <c r="E125" t="inlineStr">
        <is>
          <t>A-M-110</t>
        </is>
      </c>
      <c r="H125" t="inlineStr">
        <is>
          <t>ELEC</t>
        </is>
      </c>
      <c r="I125" t="inlineStr">
        <is>
          <t>distribution-train</t>
        </is>
      </c>
      <c r="J125" t="inlineStr">
        <is>
          <t>gnd_rod_L_m</t>
        </is>
      </c>
    </row>
    <row r="126">
      <c r="A126" t="inlineStr">
        <is>
          <t>ELEC.distribution-train.gnd_rod_pitch_m</t>
        </is>
      </c>
      <c r="B126" s="4" t="n">
        <v>10</v>
      </c>
      <c r="C126" t="inlineStr">
        <is>
          <t>m rod spacing along the ring</t>
        </is>
      </c>
      <c r="E126" t="inlineStr">
        <is>
          <t>A-M-110</t>
        </is>
      </c>
      <c r="H126" t="inlineStr">
        <is>
          <t>ELEC</t>
        </is>
      </c>
      <c r="I126" t="inlineStr">
        <is>
          <t>distribution-train</t>
        </is>
      </c>
      <c r="J126" t="inlineStr">
        <is>
          <t>gnd_rod_pitch_m</t>
        </is>
      </c>
    </row>
    <row r="127">
      <c r="A127" t="inlineStr">
        <is>
          <t>ELEC.distribution-train.gnd_soil_rho_ohm_m</t>
        </is>
      </c>
      <c r="B127" s="4" t="n">
        <v>50</v>
      </c>
      <c r="C127" t="inlineStr">
        <is>
          <t>ohm m soil resistivity</t>
        </is>
      </c>
      <c r="E127" t="inlineStr">
        <is>
          <t>AQS-SITE-002 soil assumption (clay)</t>
        </is>
      </c>
      <c r="F127" t="b">
        <v>1</v>
      </c>
      <c r="G127" t="inlineStr">
        <is>
          <t>Wenner four-electrode soil resistivity survey at the site</t>
        </is>
      </c>
      <c r="H127" t="inlineStr">
        <is>
          <t>ELEC</t>
        </is>
      </c>
      <c r="I127" t="inlineStr">
        <is>
          <t>distribution-train</t>
        </is>
      </c>
      <c r="J127" t="inlineStr">
        <is>
          <t>gnd_soil_rho_ohm_m</t>
        </is>
      </c>
    </row>
    <row r="128">
      <c r="A128" t="inlineStr">
        <is>
          <t>ELEC.distribution-train.gnd_target_ohm</t>
        </is>
      </c>
      <c r="B128" s="4" t="n">
        <v>5</v>
      </c>
      <c r="C128" t="inlineStr">
        <is>
          <t>ohm target grid resistance to earth</t>
        </is>
      </c>
      <c r="D128" t="inlineStr">
        <is>
          <t>IEEE80</t>
        </is>
      </c>
      <c r="H128" t="inlineStr">
        <is>
          <t>ELEC</t>
        </is>
      </c>
      <c r="I128" t="inlineStr">
        <is>
          <t>distribution-train</t>
        </is>
      </c>
      <c r="J128" t="inlineStr">
        <is>
          <t>gnd_target_ohm</t>
        </is>
      </c>
    </row>
    <row r="129">
      <c r="A129" t="inlineStr">
        <is>
          <t>ELEC.distribution-train.gnd_west_yard_m</t>
        </is>
      </c>
      <c r="B129" s="4" t="n">
        <v>10</v>
      </c>
      <c r="C129" t="inlineStr">
        <is>
          <t>m west yard added to the building footprint for the grid</t>
        </is>
      </c>
      <c r="E129" t="inlineStr">
        <is>
          <t>A-M-110 (D75)</t>
        </is>
      </c>
      <c r="H129" t="inlineStr">
        <is>
          <t>ELEC</t>
        </is>
      </c>
      <c r="I129" t="inlineStr">
        <is>
          <t>distribution-train</t>
        </is>
      </c>
      <c r="J129" t="inlineStr">
        <is>
          <t>gnd_west_yard_m</t>
        </is>
      </c>
    </row>
    <row r="130">
      <c r="A130" t="inlineStr">
        <is>
          <t>ELEC.distribution-train.haz_gas_classes</t>
        </is>
      </c>
      <c r="B130" s="4" t="inlineStr">
        <is>
          <t>{"AcOH":{"AIT_C":485,"R1_m":1.5,"R2_m":3.0,"T_class":"T1","group":"IIA (Group D)","kind":"vapour"},"C11-C18":{"AIT_C":220,"R1_m":1.5,"R2_m":3.0,"T_class":"T3","group":"IIA (Group D)","kind":"vapour"},"C19-C28":{"AIT_C":210,"R1_m":1.5,"R2_m":3.0,"T_class":"T3","group":"IIA (Group D)","kind":"vapour (heated only)"},"C5-C10":{"AIT_C":280,"R1_m":1.5,"R2_m":3.0,"T_class":"T3","group":"IIA (Group D)","kind":"vapour"},"CH3OH":{"AIT_C":464,"R1_m":1.5,"R2_m":3.0,"T_class":"T1","group":"IIA (Group D)","kind":"vapour"},"H2":{"AIT_C":560,"R1_m":1.0,"R2_m":1.5,"T_class":"T1","group":"IIC (Group B)","kind":"buoyant gas"},"hydrocarbon":{"AIT_C":210,"R1_m":1.5,"R2_m":3.0,"T_class":"T3","group":"IIA (Group D)","kind":"vapour"}}</t>
        </is>
      </c>
      <c r="C130" t="inlineStr">
        <is>
          <t>per-substance gas group, T class, AIT and Zone 1/Zone 2 extents R1/R2</t>
        </is>
      </c>
      <c r="E130" t="inlineStr">
        <is>
          <t>A-M-210 (AIT NFPA 497 Table 4.4.2 class values)</t>
        </is>
      </c>
      <c r="H130" t="inlineStr">
        <is>
          <t>ELEC</t>
        </is>
      </c>
      <c r="I130" t="inlineStr">
        <is>
          <t>distribution-train</t>
        </is>
      </c>
      <c r="J130" t="inlineStr">
        <is>
          <t>haz_gas_classes</t>
        </is>
      </c>
    </row>
    <row r="131">
      <c r="A131" t="inlineStr">
        <is>
          <t>ELEC.distribution-train.haz_min_frac_H2</t>
        </is>
      </c>
      <c r="B131" s="4" t="n">
        <v>0.5</v>
      </c>
      <c r="C131" t="inlineStr">
        <is>
          <t>- minimum H2 mass fraction for an edge to be an H2 release source</t>
        </is>
      </c>
      <c r="E131" t="inlineStr">
        <is>
          <t>A-M-210</t>
        </is>
      </c>
      <c r="H131" t="inlineStr">
        <is>
          <t>ELEC</t>
        </is>
      </c>
      <c r="I131" t="inlineStr">
        <is>
          <t>distribution-train</t>
        </is>
      </c>
      <c r="J131" t="inlineStr">
        <is>
          <t>haz_min_frac_H2</t>
        </is>
      </c>
    </row>
    <row r="132">
      <c r="A132" t="inlineStr">
        <is>
          <t>ELEC.distribution-train.haz_min_frac_vap</t>
        </is>
      </c>
      <c r="B132" s="4" t="n">
        <v>0.2</v>
      </c>
      <c r="C132" t="inlineStr">
        <is>
          <t>- minimum vapour mass fraction for an organic-liquid release source</t>
        </is>
      </c>
      <c r="E132" t="inlineStr">
        <is>
          <t>A-M-210</t>
        </is>
      </c>
      <c r="H132" t="inlineStr">
        <is>
          <t>ELEC</t>
        </is>
      </c>
      <c r="I132" t="inlineStr">
        <is>
          <t>distribution-train</t>
        </is>
      </c>
      <c r="J132" t="inlineStr">
        <is>
          <t>haz_min_frac_vap</t>
        </is>
      </c>
    </row>
    <row r="133">
      <c r="A133" t="inlineStr">
        <is>
          <t>ELEC.generation-train.BACKUP_GEN.crit_GROW_BED_kW</t>
        </is>
      </c>
      <c r="B133" s="4" t="n">
        <v>5</v>
      </c>
      <c r="C133" t="inlineStr">
        <is>
          <t>kW critical load, GROW_BED (grow lights on the autonomy list)</t>
        </is>
      </c>
      <c r="E133" t="inlineStr">
        <is>
          <t>AQS-ELEC-007 critical load list</t>
        </is>
      </c>
      <c r="H133" t="inlineStr">
        <is>
          <t>ELEC</t>
        </is>
      </c>
      <c r="I133" t="inlineStr">
        <is>
          <t>generation-train</t>
        </is>
      </c>
      <c r="J133" t="inlineStr">
        <is>
          <t>BACKUP_GEN</t>
        </is>
      </c>
      <c r="K133" t="inlineStr">
        <is>
          <t>crit_GROW_BED_kW</t>
        </is>
      </c>
    </row>
    <row r="134">
      <c r="A134" t="inlineStr">
        <is>
          <t>ELEC.generation-train.BACKUP_GEN.crit_HABITATION_kW</t>
        </is>
      </c>
      <c r="B134" s="4" t="n">
        <v>3</v>
      </c>
      <c r="C134" t="inlineStr">
        <is>
          <t>kW critical load, HABITATION (backup-gen autonomy list)</t>
        </is>
      </c>
      <c r="E134" t="inlineStr">
        <is>
          <t>AQS-ELEC-007 critical load list</t>
        </is>
      </c>
      <c r="H134" t="inlineStr">
        <is>
          <t>ELEC</t>
        </is>
      </c>
      <c r="I134" t="inlineStr">
        <is>
          <t>generation-train</t>
        </is>
      </c>
      <c r="J134" t="inlineStr">
        <is>
          <t>BACKUP_GEN</t>
        </is>
      </c>
      <c r="K134" t="inlineStr">
        <is>
          <t>crit_HABITATION_kW</t>
        </is>
      </c>
    </row>
    <row r="135">
      <c r="A135" t="inlineStr">
        <is>
          <t>ELEC.generation-train.BACKUP_GEN.crit_controls_kW</t>
        </is>
      </c>
      <c r="B135" s="4" t="n">
        <v>2</v>
      </c>
      <c r="C135" t="inlineStr">
        <is>
          <t>kW critical load, plant controls and instruments</t>
        </is>
      </c>
      <c r="E135" t="inlineStr">
        <is>
          <t>AQS-ELEC-007 critical load list</t>
        </is>
      </c>
      <c r="H135" t="inlineStr">
        <is>
          <t>ELEC</t>
        </is>
      </c>
      <c r="I135" t="inlineStr">
        <is>
          <t>generation-train</t>
        </is>
      </c>
      <c r="J135" t="inlineStr">
        <is>
          <t>BACKUP_GEN</t>
        </is>
      </c>
      <c r="K135" t="inlineStr">
        <is>
          <t>crit_controls_kW</t>
        </is>
      </c>
    </row>
    <row r="136">
      <c r="A136" t="inlineStr">
        <is>
          <t>ELEC.generation-train.BACKUP_GEN.eta</t>
        </is>
      </c>
      <c r="B136" s="4" t="n">
        <v>0.3</v>
      </c>
      <c r="C136" t="inlineStr">
        <is>
          <t>- spark-ignition engine efficiency on the C5-C10 cut</t>
        </is>
      </c>
      <c r="E136" t="inlineStr">
        <is>
          <t>A-M-134 (genset standby study)</t>
        </is>
      </c>
      <c r="H136" t="inlineStr">
        <is>
          <t>ELEC</t>
        </is>
      </c>
      <c r="I136" t="inlineStr">
        <is>
          <t>generation-train</t>
        </is>
      </c>
      <c r="J136" t="inlineStr">
        <is>
          <t>BACKUP_GEN</t>
        </is>
      </c>
      <c r="K136" t="inlineStr">
        <is>
          <t>eta</t>
        </is>
      </c>
    </row>
    <row r="137">
      <c r="A137" t="inlineStr">
        <is>
          <t>ELEC.generation-train.BACKUP_GEN.exercise_h</t>
        </is>
      </c>
      <c r="B137" s="4" t="n">
        <v>0.5</v>
      </c>
      <c r="C137" t="inlineStr">
        <is>
          <t>h monthly exercise duration</t>
        </is>
      </c>
      <c r="D137" t="inlineStr">
        <is>
          <t>NFPA110_2022</t>
        </is>
      </c>
      <c r="H137" t="inlineStr">
        <is>
          <t>ELEC</t>
        </is>
      </c>
      <c r="I137" t="inlineStr">
        <is>
          <t>generation-train</t>
        </is>
      </c>
      <c r="J137" t="inlineStr">
        <is>
          <t>BACKUP_GEN</t>
        </is>
      </c>
      <c r="K137" t="inlineStr">
        <is>
          <t>exercise_h</t>
        </is>
      </c>
    </row>
    <row r="138">
      <c r="A138" t="inlineStr">
        <is>
          <t>ELEC.generation-train.BACKUP_GEN.exercise_load_frac</t>
        </is>
      </c>
      <c r="B138" s="4" t="n">
        <v>0.3</v>
      </c>
      <c r="C138" t="inlineStr">
        <is>
          <t>- nameplate fraction during monthly exercise</t>
        </is>
      </c>
      <c r="D138" t="inlineStr">
        <is>
          <t>NFPA110_2022</t>
        </is>
      </c>
      <c r="H138" t="inlineStr">
        <is>
          <t>ELEC</t>
        </is>
      </c>
      <c r="I138" t="inlineStr">
        <is>
          <t>generation-train</t>
        </is>
      </c>
      <c r="J138" t="inlineStr">
        <is>
          <t>BACKUP_GEN</t>
        </is>
      </c>
      <c r="K138" t="inlineStr">
        <is>
          <t>exercise_load_frac</t>
        </is>
      </c>
    </row>
    <row r="139">
      <c r="A139" t="inlineStr">
        <is>
          <t>ELEC.generation-train.BACKUP_GEN.fuel_lhv_kWh_kg</t>
        </is>
      </c>
      <c r="B139" s="4" t="n">
        <v>12.2</v>
      </c>
      <c r="C139" t="inlineStr">
        <is>
          <t>kWh/kg C5-C10 cut LHV (about 44 MJ/kg)</t>
        </is>
      </c>
      <c r="E139" t="inlineStr">
        <is>
          <t>A-M-134</t>
        </is>
      </c>
      <c r="H139" t="inlineStr">
        <is>
          <t>ELEC</t>
        </is>
      </c>
      <c r="I139" t="inlineStr">
        <is>
          <t>generation-train</t>
        </is>
      </c>
      <c r="J139" t="inlineStr">
        <is>
          <t>BACKUP_GEN</t>
        </is>
      </c>
      <c r="K139" t="inlineStr">
        <is>
          <t>fuel_lhv_kWh_kg</t>
        </is>
      </c>
    </row>
    <row r="140">
      <c r="A140" t="inlineStr">
        <is>
          <t>ELEC.storage-train.ZNBR2.h2_LFL_vol_frac</t>
        </is>
      </c>
      <c r="B140" s="4" t="n">
        <v>0.04</v>
      </c>
      <c r="C140" t="inlineStr">
        <is>
          <t>vol fraction H2 lower flammability limit in air</t>
        </is>
      </c>
      <c r="D140" t="inlineStr">
        <is>
          <t>NFPA69_2019</t>
        </is>
      </c>
      <c r="H140" t="inlineStr">
        <is>
          <t>ELEC</t>
        </is>
      </c>
      <c r="I140" t="inlineStr">
        <is>
          <t>storage-train</t>
        </is>
      </c>
      <c r="J140" t="inlineStr">
        <is>
          <t>ZNBR2</t>
        </is>
      </c>
      <c r="K140" t="inlineStr">
        <is>
          <t>h2_LFL_vol_frac</t>
        </is>
      </c>
    </row>
    <row r="141">
      <c r="A141" t="inlineStr">
        <is>
          <t>ELEC.storage-train.ZNBR2.purge_air_rho_kg_m3</t>
        </is>
      </c>
      <c r="B141" s="4" t="n">
        <v>1.18</v>
      </c>
      <c r="C141" t="inlineStr">
        <is>
          <t>kg/m3 purge air density</t>
        </is>
      </c>
      <c r="E141" t="inlineStr">
        <is>
          <t>A-M-135 (X-PAR-02 ZNBR2 purge basis)</t>
        </is>
      </c>
      <c r="H141" t="inlineStr">
        <is>
          <t>ELEC</t>
        </is>
      </c>
      <c r="I141" t="inlineStr">
        <is>
          <t>storage-train</t>
        </is>
      </c>
      <c r="J141" t="inlineStr">
        <is>
          <t>ZNBR2</t>
        </is>
      </c>
      <c r="K141" t="inlineStr">
        <is>
          <t>purge_air_rho_kg_m3</t>
        </is>
      </c>
    </row>
    <row r="142">
      <c r="A142" t="inlineStr">
        <is>
          <t>FAB.litho-train.developer_mL_per_wafer</t>
        </is>
      </c>
      <c r="B142" s="4" t="n">
        <v>40</v>
      </c>
      <c r="C142" t="inlineStr">
        <is>
          <t>mL/wafer</t>
        </is>
      </c>
      <c r="D142" t="inlineStr">
        <is>
          <t>puddle-develop dispense class at 150 mm (AQS-LITH-001 rev C; A-M-282) (A-M-284)</t>
        </is>
      </c>
      <c r="H142" t="inlineStr">
        <is>
          <t>FAB</t>
        </is>
      </c>
      <c r="I142" t="inlineStr">
        <is>
          <t>litho-train</t>
        </is>
      </c>
      <c r="J142" t="inlineStr">
        <is>
          <t>developer_mL_per_wafer</t>
        </is>
      </c>
    </row>
    <row r="143">
      <c r="A143" t="inlineStr">
        <is>
          <t>FAB.litho-train.softbake_kW</t>
        </is>
      </c>
      <c r="B143" s="4" t="n">
        <v>0.3</v>
      </c>
      <c r="C143" t="inlineStr">
        <is>
          <t>kW</t>
        </is>
      </c>
      <c r="D143" t="inlineStr">
        <is>
          <t>hotplate rating at 100 C hold (AQS-LITH-001 rev C; A-M-282) (A-M-284)</t>
        </is>
      </c>
      <c r="H143" t="inlineStr">
        <is>
          <t>FAB</t>
        </is>
      </c>
      <c r="I143" t="inlineStr">
        <is>
          <t>litho-train</t>
        </is>
      </c>
      <c r="J143" t="inlineStr">
        <is>
          <t>softbake_kW</t>
        </is>
      </c>
    </row>
    <row r="144">
      <c r="A144" t="inlineStr">
        <is>
          <t>FAB.litho-train.spin_peak_kW</t>
        </is>
      </c>
      <c r="B144" s="4" t="n">
        <v>0.75</v>
      </c>
      <c r="C144" t="inlineStr">
        <is>
          <t>kW</t>
        </is>
      </c>
      <c r="D144" t="inlineStr">
        <is>
          <t>spin-chuck motor class (AQS-LITH-001 rev C; A-M-282) (A-M-284)</t>
        </is>
      </c>
      <c r="H144" t="inlineStr">
        <is>
          <t>FAB</t>
        </is>
      </c>
      <c r="I144" t="inlineStr">
        <is>
          <t>litho-train</t>
        </is>
      </c>
      <c r="J144" t="inlineStr">
        <is>
          <t>spin_peak_kW</t>
        </is>
      </c>
    </row>
    <row r="145">
      <c r="A145" t="inlineStr">
        <is>
          <t>FAB.litho-train.starts_per_d</t>
        </is>
      </c>
      <c r="B145" s="4" t="n">
        <v>5</v>
      </c>
      <c r="C145" t="inlineStr">
        <is>
          <t>wafer starts/d</t>
        </is>
      </c>
      <c r="D145" t="inlineStr">
        <is>
          <t>AQS-AUD-001 labeled assumption 1-5/d, bounding value (A-M-282) (A-M-284)</t>
        </is>
      </c>
      <c r="F145" t="b">
        <v>1</v>
      </c>
      <c r="G145" t="inlineStr">
        <is>
          <t>lock the wafer starts rate at the fab product-basis task</t>
        </is>
      </c>
      <c r="H145" t="inlineStr">
        <is>
          <t>FAB</t>
        </is>
      </c>
      <c r="I145" t="inlineStr">
        <is>
          <t>litho-train</t>
        </is>
      </c>
      <c r="J145" t="inlineStr">
        <is>
          <t>starts_per_d</t>
        </is>
      </c>
    </row>
    <row r="146">
      <c r="A146" t="inlineStr">
        <is>
          <t>FAB.litho-train.uv_wall_W</t>
        </is>
      </c>
      <c r="B146" s="4" t="n">
        <v>10</v>
      </c>
      <c r="C146" t="inlineStr">
        <is>
          <t>W</t>
        </is>
      </c>
      <c r="D146" t="inlineStr">
        <is>
          <t>365 nm LED array 1 W optical at ~10 % wall plug (AQS-LITH-001 rev C; A-M-282) (A-M-284)</t>
        </is>
      </c>
      <c r="H146" t="inlineStr">
        <is>
          <t>FAB</t>
        </is>
      </c>
      <c r="I146" t="inlineStr">
        <is>
          <t>litho-train</t>
        </is>
      </c>
      <c r="J146" t="inlineStr">
        <is>
          <t>uv_wall_W</t>
        </is>
      </c>
    </row>
    <row r="147">
      <c r="A147" t="inlineStr">
        <is>
          <t>FAB.wafer-line-train.SOLAR_PV_CELL.pvl_amb_T_C</t>
        </is>
      </c>
      <c r="B147" s="4" t="n">
        <v>25</v>
      </c>
      <c r="C147" t="inlineStr">
        <is>
          <t>C heat-up reference temperature</t>
        </is>
      </c>
      <c r="E147" t="inlineStr">
        <is>
          <t>A-M-178 (X-MFG-38)</t>
        </is>
      </c>
      <c r="H147" t="inlineStr">
        <is>
          <t>FAB</t>
        </is>
      </c>
      <c r="I147" t="inlineStr">
        <is>
          <t>wafer-line-train</t>
        </is>
      </c>
      <c r="J147" t="inlineStr">
        <is>
          <t>SOLAR_PV_CELL</t>
        </is>
      </c>
      <c r="K147" t="inlineStr">
        <is>
          <t>pvl_amb_T_C</t>
        </is>
      </c>
    </row>
    <row r="148">
      <c r="A148" t="inlineStr">
        <is>
          <t>FAB.wafer-line-train.SOLAR_PV_CELL.pvl_diff_cp_kJ_kgK</t>
        </is>
      </c>
      <c r="B148" s="4" t="n">
        <v>1</v>
      </c>
      <c r="C148" t="inlineStr">
        <is>
          <t>kJ/(kg K) diffusion-furnace heated mass (quartz tube and fixtures)</t>
        </is>
      </c>
      <c r="E148" t="inlineStr">
        <is>
          <t>A-M-178 (X-MFG-38)</t>
        </is>
      </c>
      <c r="H148" t="inlineStr">
        <is>
          <t>FAB</t>
        </is>
      </c>
      <c r="I148" t="inlineStr">
        <is>
          <t>wafer-line-train</t>
        </is>
      </c>
      <c r="J148" t="inlineStr">
        <is>
          <t>SOLAR_PV_CELL</t>
        </is>
      </c>
      <c r="K148" t="inlineStr">
        <is>
          <t>pvl_diff_cp_kJ_kgK</t>
        </is>
      </c>
    </row>
    <row r="149">
      <c r="A149" t="inlineStr">
        <is>
          <t>FAB.wafer-line-train.SOLAR_PV_CELL.pvl_pecvd_chamber_D_mm</t>
        </is>
      </c>
      <c r="B149" s="4" t="n">
        <v>300</v>
      </c>
      <c r="C149" t="inlineStr">
        <is>
          <t>mm PECVD chamber diameter</t>
        </is>
      </c>
      <c r="E149" t="inlineStr">
        <is>
          <t>A-M-178 (X-MFG-38)</t>
        </is>
      </c>
      <c r="H149" t="inlineStr">
        <is>
          <t>FAB</t>
        </is>
      </c>
      <c r="I149" t="inlineStr">
        <is>
          <t>wafer-line-train</t>
        </is>
      </c>
      <c r="J149" t="inlineStr">
        <is>
          <t>SOLAR_PV_CELL</t>
        </is>
      </c>
      <c r="K149" t="inlineStr">
        <is>
          <t>pvl_pecvd_chamber_D_mm</t>
        </is>
      </c>
    </row>
    <row r="150">
      <c r="A150" t="inlineStr">
        <is>
          <t>FAB.wafer-line-train.SOLAR_PV_CELL.pvl_pecvd_chamber_H_m</t>
        </is>
      </c>
      <c r="B150" s="4" t="n">
        <v>0.4</v>
      </c>
      <c r="C150" t="inlineStr">
        <is>
          <t>m PECVD chamber height</t>
        </is>
      </c>
      <c r="E150" t="inlineStr">
        <is>
          <t>A-M-178 (X-MFG-38)</t>
        </is>
      </c>
      <c r="H150" t="inlineStr">
        <is>
          <t>FAB</t>
        </is>
      </c>
      <c r="I150" t="inlineStr">
        <is>
          <t>wafer-line-train</t>
        </is>
      </c>
      <c r="J150" t="inlineStr">
        <is>
          <t>SOLAR_PV_CELL</t>
        </is>
      </c>
      <c r="K150" t="inlineStr">
        <is>
          <t>pvl_pecvd_chamber_H_m</t>
        </is>
      </c>
    </row>
    <row r="151">
      <c r="A151" t="inlineStr">
        <is>
          <t>FAB.wafer-line-train.SOLAR_PV_CELL.pvl_pecvd_heat_h</t>
        </is>
      </c>
      <c r="B151" s="4" t="n">
        <v>0.5</v>
      </c>
      <c r="C151" t="inlineStr">
        <is>
          <t>h platen heat-up time to the set point</t>
        </is>
      </c>
      <c r="E151" t="inlineStr">
        <is>
          <t>A-M-178 (X-MFG-38)</t>
        </is>
      </c>
      <c r="H151" t="inlineStr">
        <is>
          <t>FAB</t>
        </is>
      </c>
      <c r="I151" t="inlineStr">
        <is>
          <t>wafer-line-train</t>
        </is>
      </c>
      <c r="J151" t="inlineStr">
        <is>
          <t>SOLAR_PV_CELL</t>
        </is>
      </c>
      <c r="K151" t="inlineStr">
        <is>
          <t>pvl_pecvd_heat_h</t>
        </is>
      </c>
    </row>
    <row r="152">
      <c r="A152" t="inlineStr">
        <is>
          <t>FAB.wafer-line-train.SOLAR_PV_CELL.pvl_pecvd_platen_cp_kJ_kgK</t>
        </is>
      </c>
      <c r="B152" s="4" t="n">
        <v>0.5</v>
      </c>
      <c r="C152" t="inlineStr">
        <is>
          <t>kJ/(kg K) PECVD platen cp</t>
        </is>
      </c>
      <c r="E152" t="inlineStr">
        <is>
          <t>A-M-178 (X-MFG-38)</t>
        </is>
      </c>
      <c r="H152" t="inlineStr">
        <is>
          <t>FAB</t>
        </is>
      </c>
      <c r="I152" t="inlineStr">
        <is>
          <t>wafer-line-train</t>
        </is>
      </c>
      <c r="J152" t="inlineStr">
        <is>
          <t>SOLAR_PV_CELL</t>
        </is>
      </c>
      <c r="K152" t="inlineStr">
        <is>
          <t>pvl_pecvd_platen_cp_kJ_kgK</t>
        </is>
      </c>
    </row>
    <row r="153">
      <c r="A153" t="inlineStr">
        <is>
          <t>FAB.wafer-line-train.SOLAR_PV_CELL.pvl_pecvd_platen_kg</t>
        </is>
      </c>
      <c r="B153" s="4" t="n">
        <v>5</v>
      </c>
      <c r="C153" t="inlineStr">
        <is>
          <t>kg PECVD heated platen mass</t>
        </is>
      </c>
      <c r="E153" t="inlineStr">
        <is>
          <t>A-M-178 (X-MFG-38)</t>
        </is>
      </c>
      <c r="H153" t="inlineStr">
        <is>
          <t>FAB</t>
        </is>
      </c>
      <c r="I153" t="inlineStr">
        <is>
          <t>wafer-line-train</t>
        </is>
      </c>
      <c r="J153" t="inlineStr">
        <is>
          <t>SOLAR_PV_CELL</t>
        </is>
      </c>
      <c r="K153" t="inlineStr">
        <is>
          <t>pvl_pecvd_platen_kg</t>
        </is>
      </c>
    </row>
    <row r="154">
      <c r="A154" t="inlineStr">
        <is>
          <t>FAB.wafer-line-train.SOLAR_PV_CELL.pvl_tex_tank_D_mm</t>
        </is>
      </c>
      <c r="B154" s="4" t="n">
        <v>250</v>
      </c>
      <c r="C154" t="inlineStr">
        <is>
          <t>mm texture-bath tank diameter (10 L PP tank)</t>
        </is>
      </c>
      <c r="E154" t="inlineStr">
        <is>
          <t>A-M-178 (X-MFG-38)</t>
        </is>
      </c>
      <c r="H154" t="inlineStr">
        <is>
          <t>FAB</t>
        </is>
      </c>
      <c r="I154" t="inlineStr">
        <is>
          <t>wafer-line-train</t>
        </is>
      </c>
      <c r="J154" t="inlineStr">
        <is>
          <t>SOLAR_PV_CELL</t>
        </is>
      </c>
      <c r="K154" t="inlineStr">
        <is>
          <t>pvl_tex_tank_D_mm</t>
        </is>
      </c>
    </row>
    <row r="155">
      <c r="A155" t="inlineStr">
        <is>
          <t>FAB.wafer-line-train.SOLAR_PV_CELL.pvl_tex_tank_H_m</t>
        </is>
      </c>
      <c r="B155" s="4" t="n">
        <v>0.3</v>
      </c>
      <c r="C155" t="inlineStr">
        <is>
          <t>m texture-bath tank height</t>
        </is>
      </c>
      <c r="E155" t="inlineStr">
        <is>
          <t>A-M-178 (X-MFG-38)</t>
        </is>
      </c>
      <c r="H155" t="inlineStr">
        <is>
          <t>FAB</t>
        </is>
      </c>
      <c r="I155" t="inlineStr">
        <is>
          <t>wafer-line-train</t>
        </is>
      </c>
      <c r="J155" t="inlineStr">
        <is>
          <t>SOLAR_PV_CELL</t>
        </is>
      </c>
      <c r="K155" t="inlineStr">
        <is>
          <t>pvl_tex_tank_H_m</t>
        </is>
      </c>
    </row>
    <row r="156">
      <c r="A156" t="inlineStr">
        <is>
          <t>FAB.wafer-line-train.SOLAR_PV_CELL.pvl_water_cp_kJ_kgK</t>
        </is>
      </c>
      <c r="B156" s="4" t="n">
        <v>4.18</v>
      </c>
      <c r="C156" t="inlineStr">
        <is>
          <t>kJ/(kg K) texture-bath water cp</t>
        </is>
      </c>
      <c r="E156" t="inlineStr">
        <is>
          <t>A-M-178 (X-MFG-38)</t>
        </is>
      </c>
      <c r="H156" t="inlineStr">
        <is>
          <t>FAB</t>
        </is>
      </c>
      <c r="I156" t="inlineStr">
        <is>
          <t>wafer-line-train</t>
        </is>
      </c>
      <c r="J156" t="inlineStr">
        <is>
          <t>SOLAR_PV_CELL</t>
        </is>
      </c>
      <c r="K156" t="inlineStr">
        <is>
          <t>pvl_water_cp_kJ_kgK</t>
        </is>
      </c>
    </row>
    <row r="157">
      <c r="A157" t="inlineStr">
        <is>
          <t>FAB.wafer-line-train.campaign_d</t>
        </is>
      </c>
      <c r="B157" s="4" t="n">
        <v>7</v>
      </c>
      <c r="C157" t="inlineStr">
        <is>
          <t>d</t>
        </is>
      </c>
      <c r="D157" t="inlineStr">
        <is>
          <t>one CZ pull + tool campaign per week at 5 starts/d (A-M-282) (A-M-286)</t>
        </is>
      </c>
      <c r="F157" t="b">
        <v>1</v>
      </c>
      <c r="G157" t="inlineStr">
        <is>
          <t>logged campaign schedule at the fab commissioning task</t>
        </is>
      </c>
      <c r="H157" t="inlineStr">
        <is>
          <t>FAB</t>
        </is>
      </c>
      <c r="I157" t="inlineStr">
        <is>
          <t>wafer-line-train</t>
        </is>
      </c>
      <c r="J157" t="inlineStr">
        <is>
          <t>campaign_d</t>
        </is>
      </c>
    </row>
    <row r="158">
      <c r="A158" t="inlineStr">
        <is>
          <t>FAB.wafer-line-train.cz_charge_kg</t>
        </is>
      </c>
      <c r="B158" s="4" t="n">
        <v>0.5</v>
      </c>
      <c r="C158" t="inlineStr">
        <is>
          <t>kg</t>
        </is>
      </c>
      <c r="D158" t="inlineStr">
        <is>
          <t>small-ingot CZ charge per pull (AQS-EQP-FAB-001 CZ class; A-M-282) (A-M-286)</t>
        </is>
      </c>
      <c r="H158" t="inlineStr">
        <is>
          <t>FAB</t>
        </is>
      </c>
      <c r="I158" t="inlineStr">
        <is>
          <t>wafer-line-train</t>
        </is>
      </c>
      <c r="J158" t="inlineStr">
        <is>
          <t>cz_charge_kg</t>
        </is>
      </c>
    </row>
    <row r="159">
      <c r="A159" t="inlineStr">
        <is>
          <t>FAB.wet-bench-train.bath_C</t>
        </is>
      </c>
      <c r="B159" s="4" t="n">
        <v>80</v>
      </c>
      <c r="C159" t="inlineStr">
        <is>
          <t>C</t>
        </is>
      </c>
      <c r="D159" t="inlineStr">
        <is>
          <t>SC1/SC2 bath temperature (RCA class, AQS-EQP-FAB-001; A-M-283) (A-M-286)</t>
        </is>
      </c>
      <c r="H159" t="inlineStr">
        <is>
          <t>FAB</t>
        </is>
      </c>
      <c r="I159" t="inlineStr">
        <is>
          <t>wet-bench-train</t>
        </is>
      </c>
      <c r="J159" t="inlineStr">
        <is>
          <t>bath_C</t>
        </is>
      </c>
    </row>
    <row r="160">
      <c r="A160" t="inlineStr">
        <is>
          <t>FAB.wet-bench-train.bath_L</t>
        </is>
      </c>
      <c r="B160" s="4" t="n">
        <v>10</v>
      </c>
      <c r="C160" t="inlineStr">
        <is>
          <t>L</t>
        </is>
      </c>
      <c r="D160" t="inlineStr">
        <is>
          <t>RCA/etch bath tank size (AQS-EQP-FAB-001 WET_BENCH row; A-M-283) (A-M-286)</t>
        </is>
      </c>
      <c r="H160" t="inlineStr">
        <is>
          <t>FAB</t>
        </is>
      </c>
      <c r="I160" t="inlineStr">
        <is>
          <t>wet-bench-train</t>
        </is>
      </c>
      <c r="J160" t="inlineStr">
        <is>
          <t>bath_L</t>
        </is>
      </c>
    </row>
    <row r="161">
      <c r="A161" t="inlineStr">
        <is>
          <t>FAB.wet-bench-train.heated_baths</t>
        </is>
      </c>
      <c r="B161" s="4" t="n">
        <v>2</v>
      </c>
      <c r="C161" t="inlineStr">
        <is>
          <t>count</t>
        </is>
      </c>
      <c r="D161" t="inlineStr">
        <is>
          <t>SC1 + SC2 heated; DHF at ambient (AQS-EQP-FAB-001; A-M-283) (A-M-286)</t>
        </is>
      </c>
      <c r="H161" t="inlineStr">
        <is>
          <t>FAB</t>
        </is>
      </c>
      <c r="I161" t="inlineStr">
        <is>
          <t>wet-bench-train</t>
        </is>
      </c>
      <c r="J161" t="inlineStr">
        <is>
          <t>heated_baths</t>
        </is>
      </c>
    </row>
    <row r="162">
      <c r="A162" t="inlineStr">
        <is>
          <t>FAB.wet-reagent-train.bench.FAB_UPW_TANK.hold_d</t>
        </is>
      </c>
      <c r="B162" s="4" t="n">
        <v>1</v>
      </c>
      <c r="C162" t="inlineStr">
        <is>
          <t>d hold time (A-M-225 basis: resupply interval or batch decoupling)</t>
        </is>
      </c>
      <c r="E162" t="inlineStr">
        <is>
          <t>A-M-225</t>
        </is>
      </c>
      <c r="H162" t="inlineStr">
        <is>
          <t>FAB</t>
        </is>
      </c>
      <c r="I162" t="inlineStr">
        <is>
          <t>wet-reagent-train</t>
        </is>
      </c>
      <c r="J162" t="inlineStr">
        <is>
          <t>bench</t>
        </is>
      </c>
      <c r="K162" t="inlineStr">
        <is>
          <t>FAB_UPW_TANK</t>
        </is>
      </c>
      <c r="L162" t="inlineStr">
        <is>
          <t>hold_d</t>
        </is>
      </c>
    </row>
    <row r="163">
      <c r="A163" t="inlineStr">
        <is>
          <t>FAB.wet-reagent-train.bench.FAB_UPW_TANK.rho_kg_m3</t>
        </is>
      </c>
      <c r="B163" s="4" t="n">
        <v>998</v>
      </c>
      <c r="C163" t="inlineStr">
        <is>
          <t>kg/m3 stored liquid at 20 C</t>
        </is>
      </c>
      <c r="D163" t="inlineStr">
        <is>
          <t>PERRY9</t>
        </is>
      </c>
      <c r="H163" t="inlineStr">
        <is>
          <t>FAB</t>
        </is>
      </c>
      <c r="I163" t="inlineStr">
        <is>
          <t>wet-reagent-train</t>
        </is>
      </c>
      <c r="J163" t="inlineStr">
        <is>
          <t>bench</t>
        </is>
      </c>
      <c r="K163" t="inlineStr">
        <is>
          <t>FAB_UPW_TANK</t>
        </is>
      </c>
      <c r="L163" t="inlineStr">
        <is>
          <t>rho_kg_m3</t>
        </is>
      </c>
    </row>
    <row r="164">
      <c r="A164" t="inlineStr">
        <is>
          <t>FAB.wet-reagent-train.reagents.WS_AMMONIA.hold_d</t>
        </is>
      </c>
      <c r="B164" s="4" t="n">
        <v>30</v>
      </c>
      <c r="C164" t="inlineStr">
        <is>
          <t>d hold time (A-M-225 basis: resupply interval or batch decoupling)</t>
        </is>
      </c>
      <c r="E164" t="inlineStr">
        <is>
          <t>A-M-225</t>
        </is>
      </c>
      <c r="H164" t="inlineStr">
        <is>
          <t>FAB</t>
        </is>
      </c>
      <c r="I164" t="inlineStr">
        <is>
          <t>wet-reagent-train</t>
        </is>
      </c>
      <c r="J164" t="inlineStr">
        <is>
          <t>reagents</t>
        </is>
      </c>
      <c r="K164" t="inlineStr">
        <is>
          <t>WS_AMMONIA</t>
        </is>
      </c>
      <c r="L164" t="inlineStr">
        <is>
          <t>hold_d</t>
        </is>
      </c>
    </row>
    <row r="165">
      <c r="A165" t="inlineStr">
        <is>
          <t>FAB.wet-reagent-train.reagents.WS_AMMONIA.rho_kg_m3</t>
        </is>
      </c>
      <c r="B165" s="4" t="n">
        <v>900</v>
      </c>
      <c r="C165" t="inlineStr">
        <is>
          <t>kg/m3 stored liquid at 20 C</t>
        </is>
      </c>
      <c r="D165" t="inlineStr">
        <is>
          <t>PERRY9</t>
        </is>
      </c>
      <c r="H165" t="inlineStr">
        <is>
          <t>FAB</t>
        </is>
      </c>
      <c r="I165" t="inlineStr">
        <is>
          <t>wet-reagent-train</t>
        </is>
      </c>
      <c r="J165" t="inlineStr">
        <is>
          <t>reagents</t>
        </is>
      </c>
      <c r="K165" t="inlineStr">
        <is>
          <t>WS_AMMONIA</t>
        </is>
      </c>
      <c r="L165" t="inlineStr">
        <is>
          <t>rho_kg_m3</t>
        </is>
      </c>
    </row>
    <row r="166">
      <c r="A166" t="inlineStr">
        <is>
          <t>FAB.wet-reagent-train.reagents.WS_DOPE.hold_d</t>
        </is>
      </c>
      <c r="B166" s="4" t="n">
        <v>30</v>
      </c>
      <c r="C166" t="inlineStr">
        <is>
          <t>d hold time (A-M-225 basis: resupply interval or batch decoupling)</t>
        </is>
      </c>
      <c r="E166" t="inlineStr">
        <is>
          <t>A-M-225</t>
        </is>
      </c>
      <c r="H166" t="inlineStr">
        <is>
          <t>FAB</t>
        </is>
      </c>
      <c r="I166" t="inlineStr">
        <is>
          <t>wet-reagent-train</t>
        </is>
      </c>
      <c r="J166" t="inlineStr">
        <is>
          <t>reagents</t>
        </is>
      </c>
      <c r="K166" t="inlineStr">
        <is>
          <t>WS_DOPE</t>
        </is>
      </c>
      <c r="L166" t="inlineStr">
        <is>
          <t>hold_d</t>
        </is>
      </c>
    </row>
    <row r="167">
      <c r="A167" t="inlineStr">
        <is>
          <t>FAB.wet-reagent-train.reagents.WS_DOPE.rho_kg_m3</t>
        </is>
      </c>
      <c r="B167" s="4" t="n">
        <v>1000</v>
      </c>
      <c r="C167" t="inlineStr">
        <is>
          <t>kg/m3 stored liquid at 20 C</t>
        </is>
      </c>
      <c r="D167" t="inlineStr">
        <is>
          <t>PERRY9</t>
        </is>
      </c>
      <c r="H167" t="inlineStr">
        <is>
          <t>FAB</t>
        </is>
      </c>
      <c r="I167" t="inlineStr">
        <is>
          <t>wet-reagent-train</t>
        </is>
      </c>
      <c r="J167" t="inlineStr">
        <is>
          <t>reagents</t>
        </is>
      </c>
      <c r="K167" t="inlineStr">
        <is>
          <t>WS_DOPE</t>
        </is>
      </c>
      <c r="L167" t="inlineStr">
        <is>
          <t>rho_kg_m3</t>
        </is>
      </c>
    </row>
    <row r="168">
      <c r="A168" t="inlineStr">
        <is>
          <t>FAB.wet-reagent-train.reagents.WS_HF_ED.hold_d</t>
        </is>
      </c>
      <c r="B168" s="4" t="n">
        <v>30</v>
      </c>
      <c r="C168" t="inlineStr">
        <is>
          <t>d hold time (A-M-225 basis: resupply interval or batch decoupling)</t>
        </is>
      </c>
      <c r="E168" t="inlineStr">
        <is>
          <t>A-M-225</t>
        </is>
      </c>
      <c r="H168" t="inlineStr">
        <is>
          <t>FAB</t>
        </is>
      </c>
      <c r="I168" t="inlineStr">
        <is>
          <t>wet-reagent-train</t>
        </is>
      </c>
      <c r="J168" t="inlineStr">
        <is>
          <t>reagents</t>
        </is>
      </c>
      <c r="K168" t="inlineStr">
        <is>
          <t>WS_HF_ED</t>
        </is>
      </c>
      <c r="L168" t="inlineStr">
        <is>
          <t>hold_d</t>
        </is>
      </c>
    </row>
    <row r="169">
      <c r="A169" t="inlineStr">
        <is>
          <t>FAB.wet-reagent-train.reagents.WS_HF_ED.rho_kg_m3</t>
        </is>
      </c>
      <c r="B169" s="4" t="n">
        <v>1150</v>
      </c>
      <c r="C169" t="inlineStr">
        <is>
          <t>kg/m3 stored liquid at 20 C</t>
        </is>
      </c>
      <c r="D169" t="inlineStr">
        <is>
          <t>PERRY9</t>
        </is>
      </c>
      <c r="H169" t="inlineStr">
        <is>
          <t>FAB</t>
        </is>
      </c>
      <c r="I169" t="inlineStr">
        <is>
          <t>wet-reagent-train</t>
        </is>
      </c>
      <c r="J169" t="inlineStr">
        <is>
          <t>reagents</t>
        </is>
      </c>
      <c r="K169" t="inlineStr">
        <is>
          <t>WS_HF_ED</t>
        </is>
      </c>
      <c r="L169" t="inlineStr">
        <is>
          <t>rho_kg_m3</t>
        </is>
      </c>
    </row>
    <row r="170">
      <c r="A170" t="inlineStr">
        <is>
          <t>FAB.wet-reagent-train.reagents.WS_KOH.hold_d</t>
        </is>
      </c>
      <c r="B170" s="4" t="n">
        <v>30</v>
      </c>
      <c r="C170" t="inlineStr">
        <is>
          <t>d hold time (A-M-225 basis: resupply interval or batch decoupling)</t>
        </is>
      </c>
      <c r="E170" t="inlineStr">
        <is>
          <t>A-M-225</t>
        </is>
      </c>
      <c r="H170" t="inlineStr">
        <is>
          <t>FAB</t>
        </is>
      </c>
      <c r="I170" t="inlineStr">
        <is>
          <t>wet-reagent-train</t>
        </is>
      </c>
      <c r="J170" t="inlineStr">
        <is>
          <t>reagents</t>
        </is>
      </c>
      <c r="K170" t="inlineStr">
        <is>
          <t>WS_KOH</t>
        </is>
      </c>
      <c r="L170" t="inlineStr">
        <is>
          <t>hold_d</t>
        </is>
      </c>
    </row>
    <row r="171">
      <c r="A171" t="inlineStr">
        <is>
          <t>FAB.wet-reagent-train.reagents.WS_KOH.rho_kg_m3</t>
        </is>
      </c>
      <c r="B171" s="4" t="n">
        <v>1450</v>
      </c>
      <c r="C171" t="inlineStr">
        <is>
          <t>kg/m3 stored liquid at 20 C</t>
        </is>
      </c>
      <c r="D171" t="inlineStr">
        <is>
          <t>PERRY9</t>
        </is>
      </c>
      <c r="H171" t="inlineStr">
        <is>
          <t>FAB</t>
        </is>
      </c>
      <c r="I171" t="inlineStr">
        <is>
          <t>wet-reagent-train</t>
        </is>
      </c>
      <c r="J171" t="inlineStr">
        <is>
          <t>reagents</t>
        </is>
      </c>
      <c r="K171" t="inlineStr">
        <is>
          <t>WS_KOH</t>
        </is>
      </c>
      <c r="L171" t="inlineStr">
        <is>
          <t>rho_kg_m3</t>
        </is>
      </c>
    </row>
    <row r="172">
      <c r="A172" t="inlineStr">
        <is>
          <t>FAB.wet-reagent-train.reagents.WS_NITRIC.hold_d</t>
        </is>
      </c>
      <c r="B172" s="4" t="n">
        <v>30</v>
      </c>
      <c r="C172" t="inlineStr">
        <is>
          <t>d hold time (A-M-225 basis: resupply interval or batch decoupling)</t>
        </is>
      </c>
      <c r="E172" t="inlineStr">
        <is>
          <t>A-M-225</t>
        </is>
      </c>
      <c r="H172" t="inlineStr">
        <is>
          <t>FAB</t>
        </is>
      </c>
      <c r="I172" t="inlineStr">
        <is>
          <t>wet-reagent-train</t>
        </is>
      </c>
      <c r="J172" t="inlineStr">
        <is>
          <t>reagents</t>
        </is>
      </c>
      <c r="K172" t="inlineStr">
        <is>
          <t>WS_NITRIC</t>
        </is>
      </c>
      <c r="L172" t="inlineStr">
        <is>
          <t>hold_d</t>
        </is>
      </c>
    </row>
    <row r="173">
      <c r="A173" t="inlineStr">
        <is>
          <t>FAB.wet-reagent-train.reagents.WS_NITRIC.rho_kg_m3</t>
        </is>
      </c>
      <c r="B173" s="4" t="n">
        <v>1400</v>
      </c>
      <c r="C173" t="inlineStr">
        <is>
          <t>kg/m3 stored liquid at 20 C</t>
        </is>
      </c>
      <c r="D173" t="inlineStr">
        <is>
          <t>PERRY9</t>
        </is>
      </c>
      <c r="H173" t="inlineStr">
        <is>
          <t>FAB</t>
        </is>
      </c>
      <c r="I173" t="inlineStr">
        <is>
          <t>wet-reagent-train</t>
        </is>
      </c>
      <c r="J173" t="inlineStr">
        <is>
          <t>reagents</t>
        </is>
      </c>
      <c r="K173" t="inlineStr">
        <is>
          <t>WS_NITRIC</t>
        </is>
      </c>
      <c r="L173" t="inlineStr">
        <is>
          <t>rho_kg_m3</t>
        </is>
      </c>
    </row>
    <row r="174">
      <c r="A174" t="inlineStr">
        <is>
          <t>FAB.wet-reagent-train.reagents.WS_PEROX.hold_d</t>
        </is>
      </c>
      <c r="B174" s="4" t="n">
        <v>30</v>
      </c>
      <c r="C174" t="inlineStr">
        <is>
          <t>d hold time (A-M-225 basis: resupply interval or batch decoupling)</t>
        </is>
      </c>
      <c r="E174" t="inlineStr">
        <is>
          <t>A-M-225</t>
        </is>
      </c>
      <c r="H174" t="inlineStr">
        <is>
          <t>FAB</t>
        </is>
      </c>
      <c r="I174" t="inlineStr">
        <is>
          <t>wet-reagent-train</t>
        </is>
      </c>
      <c r="J174" t="inlineStr">
        <is>
          <t>reagents</t>
        </is>
      </c>
      <c r="K174" t="inlineStr">
        <is>
          <t>WS_PEROX</t>
        </is>
      </c>
      <c r="L174" t="inlineStr">
        <is>
          <t>hold_d</t>
        </is>
      </c>
    </row>
    <row r="175">
      <c r="A175" t="inlineStr">
        <is>
          <t>FAB.wet-reagent-train.reagents.WS_PEROX.rho_kg_m3</t>
        </is>
      </c>
      <c r="B175" s="4" t="n">
        <v>1110</v>
      </c>
      <c r="C175" t="inlineStr">
        <is>
          <t>kg/m3 stored liquid at 20 C</t>
        </is>
      </c>
      <c r="D175" t="inlineStr">
        <is>
          <t>PERRY9</t>
        </is>
      </c>
      <c r="H175" t="inlineStr">
        <is>
          <t>FAB</t>
        </is>
      </c>
      <c r="I175" t="inlineStr">
        <is>
          <t>wet-reagent-train</t>
        </is>
      </c>
      <c r="J175" t="inlineStr">
        <is>
          <t>reagents</t>
        </is>
      </c>
      <c r="K175" t="inlineStr">
        <is>
          <t>WS_PEROX</t>
        </is>
      </c>
      <c r="L175" t="inlineStr">
        <is>
          <t>rho_kg_m3</t>
        </is>
      </c>
    </row>
    <row r="176">
      <c r="A176" t="inlineStr">
        <is>
          <t>FAB.wet-reagent-train.reagents.WS_PHOS.hold_d</t>
        </is>
      </c>
      <c r="B176" s="4" t="n">
        <v>30</v>
      </c>
      <c r="C176" t="inlineStr">
        <is>
          <t>d hold time (A-M-225 basis: resupply interval or batch decoupling)</t>
        </is>
      </c>
      <c r="E176" t="inlineStr">
        <is>
          <t>A-M-225</t>
        </is>
      </c>
      <c r="H176" t="inlineStr">
        <is>
          <t>FAB</t>
        </is>
      </c>
      <c r="I176" t="inlineStr">
        <is>
          <t>wet-reagent-train</t>
        </is>
      </c>
      <c r="J176" t="inlineStr">
        <is>
          <t>reagents</t>
        </is>
      </c>
      <c r="K176" t="inlineStr">
        <is>
          <t>WS_PHOS</t>
        </is>
      </c>
      <c r="L176" t="inlineStr">
        <is>
          <t>hold_d</t>
        </is>
      </c>
    </row>
    <row r="177">
      <c r="A177" t="inlineStr">
        <is>
          <t>FAB.wet-reagent-train.reagents.WS_PHOS.rho_kg_m3</t>
        </is>
      </c>
      <c r="B177" s="4" t="n">
        <v>1690</v>
      </c>
      <c r="C177" t="inlineStr">
        <is>
          <t>kg/m3 stored liquid at 20 C</t>
        </is>
      </c>
      <c r="D177" t="inlineStr">
        <is>
          <t>PERRY9</t>
        </is>
      </c>
      <c r="H177" t="inlineStr">
        <is>
          <t>FAB</t>
        </is>
      </c>
      <c r="I177" t="inlineStr">
        <is>
          <t>wet-reagent-train</t>
        </is>
      </c>
      <c r="J177" t="inlineStr">
        <is>
          <t>reagents</t>
        </is>
      </c>
      <c r="K177" t="inlineStr">
        <is>
          <t>WS_PHOS</t>
        </is>
      </c>
      <c r="L177" t="inlineStr">
        <is>
          <t>rho_kg_m3</t>
        </is>
      </c>
    </row>
    <row r="178">
      <c r="A178" t="inlineStr">
        <is>
          <t>FAB.wet-reagent-train.reagents.WS_SLURRY.hold_d</t>
        </is>
      </c>
      <c r="B178" s="4" t="n">
        <v>30</v>
      </c>
      <c r="C178" t="inlineStr">
        <is>
          <t>d hold time (A-M-225 basis: resupply interval or batch decoupling)</t>
        </is>
      </c>
      <c r="E178" t="inlineStr">
        <is>
          <t>A-M-225</t>
        </is>
      </c>
      <c r="H178" t="inlineStr">
        <is>
          <t>FAB</t>
        </is>
      </c>
      <c r="I178" t="inlineStr">
        <is>
          <t>wet-reagent-train</t>
        </is>
      </c>
      <c r="J178" t="inlineStr">
        <is>
          <t>reagents</t>
        </is>
      </c>
      <c r="K178" t="inlineStr">
        <is>
          <t>WS_SLURRY</t>
        </is>
      </c>
      <c r="L178" t="inlineStr">
        <is>
          <t>hold_d</t>
        </is>
      </c>
    </row>
    <row r="179">
      <c r="A179" t="inlineStr">
        <is>
          <t>FAB.wet-reagent-train.reagents.WS_SLURRY.rho_kg_m3</t>
        </is>
      </c>
      <c r="B179" s="4" t="n">
        <v>1200</v>
      </c>
      <c r="C179" t="inlineStr">
        <is>
          <t>kg/m3 stored liquid at 20 C</t>
        </is>
      </c>
      <c r="D179" t="inlineStr">
        <is>
          <t>PERRY9</t>
        </is>
      </c>
      <c r="H179" t="inlineStr">
        <is>
          <t>FAB</t>
        </is>
      </c>
      <c r="I179" t="inlineStr">
        <is>
          <t>wet-reagent-train</t>
        </is>
      </c>
      <c r="J179" t="inlineStr">
        <is>
          <t>reagents</t>
        </is>
      </c>
      <c r="K179" t="inlineStr">
        <is>
          <t>WS_SLURRY</t>
        </is>
      </c>
      <c r="L179" t="inlineStr">
        <is>
          <t>rho_kg_m3</t>
        </is>
      </c>
    </row>
    <row r="180">
      <c r="A180" t="inlineStr">
        <is>
          <t>FAB.wet-reagent-train.reagents.WS_SOLV.hold_d</t>
        </is>
      </c>
      <c r="B180" s="4" t="n">
        <v>30</v>
      </c>
      <c r="C180" t="inlineStr">
        <is>
          <t>d hold time (A-M-225 basis: resupply interval or batch decoupling)</t>
        </is>
      </c>
      <c r="E180" t="inlineStr">
        <is>
          <t>A-M-225</t>
        </is>
      </c>
      <c r="H180" t="inlineStr">
        <is>
          <t>FAB</t>
        </is>
      </c>
      <c r="I180" t="inlineStr">
        <is>
          <t>wet-reagent-train</t>
        </is>
      </c>
      <c r="J180" t="inlineStr">
        <is>
          <t>reagents</t>
        </is>
      </c>
      <c r="K180" t="inlineStr">
        <is>
          <t>WS_SOLV</t>
        </is>
      </c>
      <c r="L180" t="inlineStr">
        <is>
          <t>hold_d</t>
        </is>
      </c>
    </row>
    <row r="181">
      <c r="A181" t="inlineStr">
        <is>
          <t>FAB.wet-reagent-train.reagents.WS_SOLV.rho_kg_m3</t>
        </is>
      </c>
      <c r="B181" s="4" t="n">
        <v>790</v>
      </c>
      <c r="C181" t="inlineStr">
        <is>
          <t>kg/m3 stored liquid at 20 C</t>
        </is>
      </c>
      <c r="D181" t="inlineStr">
        <is>
          <t>PERRY9</t>
        </is>
      </c>
      <c r="H181" t="inlineStr">
        <is>
          <t>FAB</t>
        </is>
      </c>
      <c r="I181" t="inlineStr">
        <is>
          <t>wet-reagent-train</t>
        </is>
      </c>
      <c r="J181" t="inlineStr">
        <is>
          <t>reagents</t>
        </is>
      </c>
      <c r="K181" t="inlineStr">
        <is>
          <t>WS_SOLV</t>
        </is>
      </c>
      <c r="L181" t="inlineStr">
        <is>
          <t>rho_kg_m3</t>
        </is>
      </c>
    </row>
    <row r="182">
      <c r="A182" t="inlineStr">
        <is>
          <t>FARM.grow-bed-train.FOOD_STORE.hold_d</t>
        </is>
      </c>
      <c r="B182" s="4" t="n">
        <v>80</v>
      </c>
      <c r="C182" t="inlineStr">
        <is>
          <t>d hold time (A-M-270 D-DOCK product-buffer basis)</t>
        </is>
      </c>
      <c r="E182" t="inlineStr">
        <is>
          <t>A-M-270</t>
        </is>
      </c>
      <c r="H182" t="inlineStr">
        <is>
          <t>FARM</t>
        </is>
      </c>
      <c r="I182" t="inlineStr">
        <is>
          <t>grow-bed-train</t>
        </is>
      </c>
      <c r="J182" t="inlineStr">
        <is>
          <t>FOOD_STORE</t>
        </is>
      </c>
      <c r="K182" t="inlineStr">
        <is>
          <t>hold_d</t>
        </is>
      </c>
    </row>
    <row r="183">
      <c r="A183" t="inlineStr">
        <is>
          <t>FARM.grow-bed-train.FOOD_STORE.rho_kg_m3</t>
        </is>
      </c>
      <c r="B183" s="4" t="n">
        <v>600</v>
      </c>
      <c r="C183" t="inlineStr">
        <is>
          <t>kg/m3 dry ration bulk density (X-RED-08 dry-matter reserve)</t>
        </is>
      </c>
      <c r="E183" t="inlineStr">
        <is>
          <t>A-M-270</t>
        </is>
      </c>
      <c r="H183" t="inlineStr">
        <is>
          <t>FARM</t>
        </is>
      </c>
      <c r="I183" t="inlineStr">
        <is>
          <t>grow-bed-train</t>
        </is>
      </c>
      <c r="J183" t="inlineStr">
        <is>
          <t>FOOD_STORE</t>
        </is>
      </c>
      <c r="K183" t="inlineStr">
        <is>
          <t>rho_kg_m3</t>
        </is>
      </c>
    </row>
    <row r="184">
      <c r="A184" t="inlineStr">
        <is>
          <t>FARM.grow-bed-train.GROW_BED.crop_edible_water_frac</t>
        </is>
      </c>
      <c r="B184" s="4" t="n">
        <v>0.9399999999999999</v>
      </c>
      <c r="C184" t="inlineStr">
        <is>
          <t>mass fraction water in edible fresh biomass (tomato proxy)</t>
        </is>
      </c>
      <c r="D184" t="inlineStr">
        <is>
          <t>BVAD2022</t>
        </is>
      </c>
      <c r="H184" t="inlineStr">
        <is>
          <t>FARM</t>
        </is>
      </c>
      <c r="I184" t="inlineStr">
        <is>
          <t>grow-bed-train</t>
        </is>
      </c>
      <c r="J184" t="inlineStr">
        <is>
          <t>GROW_BED</t>
        </is>
      </c>
      <c r="K184" t="inlineStr">
        <is>
          <t>crop_edible_water_frac</t>
        </is>
      </c>
    </row>
    <row r="185">
      <c r="A185" t="inlineStr">
        <is>
          <t>FARM.grow-bed-train.GROW_BED.crop_inedible_water_frac</t>
        </is>
      </c>
      <c r="B185" s="4" t="n">
        <v>0.9</v>
      </c>
      <c r="C185" t="inlineStr">
        <is>
          <t>mass fraction water in inedible fresh biomass (tomato proxy)</t>
        </is>
      </c>
      <c r="D185" t="inlineStr">
        <is>
          <t>BVAD2022</t>
        </is>
      </c>
      <c r="H185" t="inlineStr">
        <is>
          <t>FARM</t>
        </is>
      </c>
      <c r="I185" t="inlineStr">
        <is>
          <t>grow-bed-train</t>
        </is>
      </c>
      <c r="J185" t="inlineStr">
        <is>
          <t>GROW_BED</t>
        </is>
      </c>
      <c r="K185" t="inlineStr">
        <is>
          <t>crop_inedible_water_frac</t>
        </is>
      </c>
    </row>
    <row r="186">
      <c r="A186" t="inlineStr">
        <is>
          <t>FARM.grow-bed-train.GROW_BED.fallback_area_m2</t>
        </is>
      </c>
      <c r="B186" s="4" t="n">
        <v>28</v>
      </c>
      <c r="C186" t="inlineStr">
        <is>
          <t>m2 fallback bed area (live area comes from GROW_BED params)</t>
        </is>
      </c>
      <c r="E186" t="inlineStr">
        <is>
          <t>A-M-229 (fallback of the retired fixed-bed basis, A-M-133)</t>
        </is>
      </c>
      <c r="H186" t="inlineStr">
        <is>
          <t>FARM</t>
        </is>
      </c>
      <c r="I186" t="inlineStr">
        <is>
          <t>grow-bed-train</t>
        </is>
      </c>
      <c r="J186" t="inlineStr">
        <is>
          <t>GROW_BED</t>
        </is>
      </c>
      <c r="K186" t="inlineStr">
        <is>
          <t>fallback_area_m2</t>
        </is>
      </c>
    </row>
    <row r="187">
      <c r="A187" t="inlineStr">
        <is>
          <t>FOUNDRY.form-train.METAL_STORE.hold_d</t>
        </is>
      </c>
      <c r="B187" s="4" t="n">
        <v>14</v>
      </c>
      <c r="C187" t="inlineStr">
        <is>
          <t>d hold time (A-M-270 D-DOCK product-buffer basis)</t>
        </is>
      </c>
      <c r="E187" t="inlineStr">
        <is>
          <t>A-M-270</t>
        </is>
      </c>
      <c r="H187" t="inlineStr">
        <is>
          <t>FOUNDRY</t>
        </is>
      </c>
      <c r="I187" t="inlineStr">
        <is>
          <t>form-train</t>
        </is>
      </c>
      <c r="J187" t="inlineStr">
        <is>
          <t>METAL_STORE</t>
        </is>
      </c>
      <c r="K187" t="inlineStr">
        <is>
          <t>hold_d</t>
        </is>
      </c>
    </row>
    <row r="188">
      <c r="A188" t="inlineStr">
        <is>
          <t>FOUNDRY.form-train.METAL_STORE.rho_kg_m3</t>
        </is>
      </c>
      <c r="B188" s="4" t="n">
        <v>2000</v>
      </c>
      <c r="C188" t="inlineStr">
        <is>
          <t>kg/m3 stacked metal product bulk (plate/rod/ingot with stacking voids; solid steel 7850 PERRY9)</t>
        </is>
      </c>
      <c r="E188" t="inlineStr">
        <is>
          <t>A-M-270</t>
        </is>
      </c>
      <c r="H188" t="inlineStr">
        <is>
          <t>FOUNDRY</t>
        </is>
      </c>
      <c r="I188" t="inlineStr">
        <is>
          <t>form-train</t>
        </is>
      </c>
      <c r="J188" t="inlineStr">
        <is>
          <t>METAL_STORE</t>
        </is>
      </c>
      <c r="K188" t="inlineStr">
        <is>
          <t>rho_kg_m3</t>
        </is>
      </c>
    </row>
    <row r="189">
      <c r="A189" t="inlineStr">
        <is>
          <t>GAS.headers.meam_header_P_bar</t>
        </is>
      </c>
      <c r="B189" s="4" t="n">
        <v>20.7</v>
      </c>
      <c r="C189" t="inlineStr">
        <is>
          <t>bar a</t>
        </is>
      </c>
      <c r="E189" t="inlineStr">
        <is>
          <t>A-M-269</t>
        </is>
      </c>
      <c r="F189" t="b">
        <v>1</v>
      </c>
      <c r="G189" t="inlineStr">
        <is>
          <t>MeAM loop design pressure vs duty sheet</t>
        </is>
      </c>
      <c r="H189" t="inlineStr">
        <is>
          <t>GAS</t>
        </is>
      </c>
      <c r="I189" t="inlineStr">
        <is>
          <t>headers</t>
        </is>
      </c>
      <c r="J189" t="inlineStr">
        <is>
          <t>meam_header_P_bar</t>
        </is>
      </c>
    </row>
    <row r="190">
      <c r="A190" t="inlineStr">
        <is>
          <t>GAS.headers.meam_header_T_K</t>
        </is>
      </c>
      <c r="B190" s="4" t="n">
        <v>673.15</v>
      </c>
      <c r="C190" t="inlineStr">
        <is>
          <t>K</t>
        </is>
      </c>
      <c r="E190" t="inlineStr">
        <is>
          <t>A-M-269</t>
        </is>
      </c>
      <c r="F190" t="b">
        <v>1</v>
      </c>
      <c r="G190" t="inlineStr">
        <is>
          <t>MeAM loop temperature vs duty sheet</t>
        </is>
      </c>
      <c r="H190" t="inlineStr">
        <is>
          <t>GAS</t>
        </is>
      </c>
      <c r="I190" t="inlineStr">
        <is>
          <t>headers</t>
        </is>
      </c>
      <c r="J190" t="inlineStr">
        <is>
          <t>meam_header_T_K</t>
        </is>
      </c>
    </row>
    <row r="191">
      <c r="A191" t="inlineStr">
        <is>
          <t>GAS.headers.methanol_synth_loop_P_bar</t>
        </is>
      </c>
      <c r="B191" s="4" t="n">
        <v>50</v>
      </c>
      <c r="C191" t="inlineStr">
        <is>
          <t>bar a</t>
        </is>
      </c>
      <c r="E191" t="inlineStr">
        <is>
          <t>A-M-269</t>
        </is>
      </c>
      <c r="F191" t="b">
        <v>1</v>
      </c>
      <c r="G191" t="inlineStr">
        <is>
          <t>loop reactor design pressure vs MEOH_SYNTH duty sheet</t>
        </is>
      </c>
      <c r="H191" t="inlineStr">
        <is>
          <t>GAS</t>
        </is>
      </c>
      <c r="I191" t="inlineStr">
        <is>
          <t>headers</t>
        </is>
      </c>
      <c r="J191" t="inlineStr">
        <is>
          <t>methanol_synth_loop_P_bar</t>
        </is>
      </c>
    </row>
    <row r="192">
      <c r="A192" t="inlineStr">
        <is>
          <t>GAS.headers.methanol_synth_loop_T_K</t>
        </is>
      </c>
      <c r="B192" s="4" t="n">
        <v>523.15</v>
      </c>
      <c r="C192" t="inlineStr">
        <is>
          <t>K</t>
        </is>
      </c>
      <c r="E192" t="inlineStr">
        <is>
          <t>A-M-269</t>
        </is>
      </c>
      <c r="F192" t="b">
        <v>1</v>
      </c>
      <c r="G192" t="inlineStr">
        <is>
          <t>loop reactor temperature vs MEOH_SYNTH duty sheet</t>
        </is>
      </c>
      <c r="H192" t="inlineStr">
        <is>
          <t>GAS</t>
        </is>
      </c>
      <c r="I192" t="inlineStr">
        <is>
          <t>headers</t>
        </is>
      </c>
      <c r="J192" t="inlineStr">
        <is>
          <t>methanol_synth_loop_T_K</t>
        </is>
      </c>
    </row>
    <row r="193">
      <c r="A193" t="inlineStr">
        <is>
          <t>GAS.scrubbing-headers-train.gas-headers.H2_DRYER.h2p_bed_count</t>
        </is>
      </c>
      <c r="B193" s="4" t="n">
        <v>2</v>
      </c>
      <c r="C193" t="inlineStr">
        <is>
          <t>- beds per stage, one in service while the other regenerates or is changed (redundancy rule)</t>
        </is>
      </c>
      <c r="E193" t="inlineStr">
        <is>
          <t>A-M-168 (X-MFG-39)</t>
        </is>
      </c>
      <c r="H193" t="inlineStr">
        <is>
          <t>GAS</t>
        </is>
      </c>
      <c r="I193" t="inlineStr">
        <is>
          <t>scrubbing-headers-train</t>
        </is>
      </c>
      <c r="J193" t="inlineStr">
        <is>
          <t>gas-headers</t>
        </is>
      </c>
      <c r="K193" t="inlineStr">
        <is>
          <t>H2_DRYER</t>
        </is>
      </c>
      <c r="L193" t="inlineStr">
        <is>
          <t>h2p_bed_count</t>
        </is>
      </c>
    </row>
    <row r="194">
      <c r="A194" t="inlineStr">
        <is>
          <t>GAS.scrubbing-headers-train.gas-headers.H2_DRYER.h2p_bed_min_L</t>
        </is>
      </c>
      <c r="B194" s="4" t="n">
        <v>0.05</v>
      </c>
      <c r="C194" t="inlineStr">
        <is>
          <t>L minimum bed volume</t>
        </is>
      </c>
      <c r="E194" t="inlineStr">
        <is>
          <t>A-M-168</t>
        </is>
      </c>
      <c r="H194" t="inlineStr">
        <is>
          <t>GAS</t>
        </is>
      </c>
      <c r="I194" t="inlineStr">
        <is>
          <t>scrubbing-headers-train</t>
        </is>
      </c>
      <c r="J194" t="inlineStr">
        <is>
          <t>gas-headers</t>
        </is>
      </c>
      <c r="K194" t="inlineStr">
        <is>
          <t>H2_DRYER</t>
        </is>
      </c>
      <c r="L194" t="inlineStr">
        <is>
          <t>h2p_bed_min_L</t>
        </is>
      </c>
    </row>
    <row r="195">
      <c r="A195" t="inlineStr">
        <is>
          <t>GAS.scrubbing-headers-train.gas-headers.H2_DRYER.h2p_bed_min_L_mm</t>
        </is>
      </c>
      <c r="B195" s="4" t="n">
        <v>300</v>
      </c>
      <c r="C195" t="inlineStr">
        <is>
          <t>mm minimum bed length</t>
        </is>
      </c>
      <c r="E195" t="inlineStr">
        <is>
          <t>A-M-168 (X-MFG-39)</t>
        </is>
      </c>
      <c r="H195" t="inlineStr">
        <is>
          <t>GAS</t>
        </is>
      </c>
      <c r="I195" t="inlineStr">
        <is>
          <t>scrubbing-headers-train</t>
        </is>
      </c>
      <c r="J195" t="inlineStr">
        <is>
          <t>gas-headers</t>
        </is>
      </c>
      <c r="K195" t="inlineStr">
        <is>
          <t>H2_DRYER</t>
        </is>
      </c>
      <c r="L195" t="inlineStr">
        <is>
          <t>h2p_bed_min_L_mm</t>
        </is>
      </c>
    </row>
    <row r="196">
      <c r="A196" t="inlineStr">
        <is>
          <t>GAS.scrubbing-headers-train.gas-headers.H2_DRYER.h2p_envelope_D_mm</t>
        </is>
      </c>
      <c r="B196" s="4" t="n">
        <v>60</v>
      </c>
      <c r="C196" t="inlineStr">
        <is>
          <t>mm unit envelope diameter (largest bed tube)</t>
        </is>
      </c>
      <c r="E196" t="inlineStr">
        <is>
          <t>A-M-168 (X-MFG-39)</t>
        </is>
      </c>
      <c r="H196" t="inlineStr">
        <is>
          <t>GAS</t>
        </is>
      </c>
      <c r="I196" t="inlineStr">
        <is>
          <t>scrubbing-headers-train</t>
        </is>
      </c>
      <c r="J196" t="inlineStr">
        <is>
          <t>gas-headers</t>
        </is>
      </c>
      <c r="K196" t="inlineStr">
        <is>
          <t>H2_DRYER</t>
        </is>
      </c>
      <c r="L196" t="inlineStr">
        <is>
          <t>h2p_envelope_D_mm</t>
        </is>
      </c>
    </row>
    <row r="197">
      <c r="A197" t="inlineStr">
        <is>
          <t>GAS.scrubbing-headers-train.gas-headers.H2_DRYER.h2p_envelope_L_mm</t>
        </is>
      </c>
      <c r="B197" s="4" t="n">
        <v>600</v>
      </c>
      <c r="C197" t="inlineStr">
        <is>
          <t>mm unit envelope length</t>
        </is>
      </c>
      <c r="E197" t="inlineStr">
        <is>
          <t>A-M-168 (X-MFG-39)</t>
        </is>
      </c>
      <c r="H197" t="inlineStr">
        <is>
          <t>GAS</t>
        </is>
      </c>
      <c r="I197" t="inlineStr">
        <is>
          <t>scrubbing-headers-train</t>
        </is>
      </c>
      <c r="J197" t="inlineStr">
        <is>
          <t>gas-headers</t>
        </is>
      </c>
      <c r="K197" t="inlineStr">
        <is>
          <t>H2_DRYER</t>
        </is>
      </c>
      <c r="L197" t="inlineStr">
        <is>
          <t>h2p_envelope_L_mm</t>
        </is>
      </c>
    </row>
    <row r="198">
      <c r="A198" t="inlineStr">
        <is>
          <t>GAS.scrubbing-headers-train.gas-headers.H2_DRYER.h2p_envelope_W_mm</t>
        </is>
      </c>
      <c r="B198" s="4" t="n">
        <v>400</v>
      </c>
      <c r="C198" t="inlineStr">
        <is>
          <t>mm unit envelope width</t>
        </is>
      </c>
      <c r="E198" t="inlineStr">
        <is>
          <t>A-M-168 (X-MFG-39)</t>
        </is>
      </c>
      <c r="H198" t="inlineStr">
        <is>
          <t>GAS</t>
        </is>
      </c>
      <c r="I198" t="inlineStr">
        <is>
          <t>scrubbing-headers-train</t>
        </is>
      </c>
      <c r="J198" t="inlineStr">
        <is>
          <t>gas-headers</t>
        </is>
      </c>
      <c r="K198" t="inlineStr">
        <is>
          <t>H2_DRYER</t>
        </is>
      </c>
      <c r="L198" t="inlineStr">
        <is>
          <t>h2p_envelope_W_mm</t>
        </is>
      </c>
    </row>
    <row r="199">
      <c r="A199" t="inlineStr">
        <is>
          <t>GAS.scrubbing-headers-train.gas-headers.H2_DRYER.h2p_envelope_head_mm</t>
        </is>
      </c>
      <c r="B199" s="4" t="n">
        <v>400</v>
      </c>
      <c r="C199" t="inlineStr">
        <is>
          <t>mm height allowance over the bed stack in the envelope</t>
        </is>
      </c>
      <c r="E199" t="inlineStr">
        <is>
          <t>A-M-168 (X-MFG-39)</t>
        </is>
      </c>
      <c r="H199" t="inlineStr">
        <is>
          <t>GAS</t>
        </is>
      </c>
      <c r="I199" t="inlineStr">
        <is>
          <t>scrubbing-headers-train</t>
        </is>
      </c>
      <c r="J199" t="inlineStr">
        <is>
          <t>gas-headers</t>
        </is>
      </c>
      <c r="K199" t="inlineStr">
        <is>
          <t>H2_DRYER</t>
        </is>
      </c>
      <c r="L199" t="inlineStr">
        <is>
          <t>h2p_envelope_head_mm</t>
        </is>
      </c>
    </row>
    <row r="200">
      <c r="A200" t="inlineStr">
        <is>
          <t>GAS.scrubbing-headers-train.gas-headers.H2_DRYER.h2p_envelope_top_mm</t>
        </is>
      </c>
      <c r="B200" s="4" t="n">
        <v>300</v>
      </c>
      <c r="C200" t="inlineStr">
        <is>
          <t>mm headroom allowance over the tallest bed</t>
        </is>
      </c>
      <c r="E200" t="inlineStr">
        <is>
          <t>A-M-168 (X-MFG-39)</t>
        </is>
      </c>
      <c r="H200" t="inlineStr">
        <is>
          <t>GAS</t>
        </is>
      </c>
      <c r="I200" t="inlineStr">
        <is>
          <t>scrubbing-headers-train</t>
        </is>
      </c>
      <c r="J200" t="inlineStr">
        <is>
          <t>gas-headers</t>
        </is>
      </c>
      <c r="K200" t="inlineStr">
        <is>
          <t>H2_DRYER</t>
        </is>
      </c>
      <c r="L200" t="inlineStr">
        <is>
          <t>h2p_envelope_top_mm</t>
        </is>
      </c>
    </row>
    <row r="201">
      <c r="A201" t="inlineStr">
        <is>
          <t>GAS.scrubbing-headers-train.gas-headers.H2_DRYER.h2p_guard_bulk_kg_L</t>
        </is>
      </c>
      <c r="B201" s="4" t="n">
        <v>0.8</v>
      </c>
      <c r="C201" t="inlineStr">
        <is>
          <t>kg/L promoted-alumina guard bulk density</t>
        </is>
      </c>
      <c r="E201" t="inlineStr">
        <is>
          <t>A-M-168</t>
        </is>
      </c>
      <c r="H201" t="inlineStr">
        <is>
          <t>GAS</t>
        </is>
      </c>
      <c r="I201" t="inlineStr">
        <is>
          <t>scrubbing-headers-train</t>
        </is>
      </c>
      <c r="J201" t="inlineStr">
        <is>
          <t>gas-headers</t>
        </is>
      </c>
      <c r="K201" t="inlineStr">
        <is>
          <t>H2_DRYER</t>
        </is>
      </c>
      <c r="L201" t="inlineStr">
        <is>
          <t>h2p_guard_bulk_kg_L</t>
        </is>
      </c>
    </row>
    <row r="202">
      <c r="A202" t="inlineStr">
        <is>
          <t>GAS.scrubbing-headers-train.gas-headers.H2_DRYER.h2p_loss_hot_frac</t>
        </is>
      </c>
      <c r="B202" s="4" t="n">
        <v>0.5</v>
      </c>
      <c r="C202" t="inlineStr">
        <is>
          <t>- fraction of the cycle the TSA bed is hot (insulated-loss duty)</t>
        </is>
      </c>
      <c r="E202" t="inlineStr">
        <is>
          <t>A-M-168</t>
        </is>
      </c>
      <c r="H202" t="inlineStr">
        <is>
          <t>GAS</t>
        </is>
      </c>
      <c r="I202" t="inlineStr">
        <is>
          <t>scrubbing-headers-train</t>
        </is>
      </c>
      <c r="J202" t="inlineStr">
        <is>
          <t>gas-headers</t>
        </is>
      </c>
      <c r="K202" t="inlineStr">
        <is>
          <t>H2_DRYER</t>
        </is>
      </c>
      <c r="L202" t="inlineStr">
        <is>
          <t>h2p_loss_hot_frac</t>
        </is>
      </c>
    </row>
    <row r="203">
      <c r="A203" t="inlineStr">
        <is>
          <t>GAS.scrubbing-headers-train.gas-headers.H2_DRYER.h2p_regen_heater_eta</t>
        </is>
      </c>
      <c r="B203" s="4" t="n">
        <v>0.7</v>
      </c>
      <c r="C203" t="inlineStr">
        <is>
          <t>- regeneration heater efficiency</t>
        </is>
      </c>
      <c r="E203" t="inlineStr">
        <is>
          <t>A-M-168</t>
        </is>
      </c>
      <c r="H203" t="inlineStr">
        <is>
          <t>GAS</t>
        </is>
      </c>
      <c r="I203" t="inlineStr">
        <is>
          <t>scrubbing-headers-train</t>
        </is>
      </c>
      <c r="J203" t="inlineStr">
        <is>
          <t>gas-headers</t>
        </is>
      </c>
      <c r="K203" t="inlineStr">
        <is>
          <t>H2_DRYER</t>
        </is>
      </c>
      <c r="L203" t="inlineStr">
        <is>
          <t>h2p_regen_heater_eta</t>
        </is>
      </c>
    </row>
    <row r="204">
      <c r="A204" t="inlineStr">
        <is>
          <t>GAS.scrubbing-headers-train.gas-headers.H2_DRYER.h2p_sensible_ref_T_C</t>
        </is>
      </c>
      <c r="B204" s="4" t="n">
        <v>25</v>
      </c>
      <c r="C204" t="inlineStr">
        <is>
          <t>C reference temperature of the regeneration sensible heat</t>
        </is>
      </c>
      <c r="E204" t="inlineStr">
        <is>
          <t>A-M-168 (X-MFG-39)</t>
        </is>
      </c>
      <c r="H204" t="inlineStr">
        <is>
          <t>GAS</t>
        </is>
      </c>
      <c r="I204" t="inlineStr">
        <is>
          <t>scrubbing-headers-train</t>
        </is>
      </c>
      <c r="J204" t="inlineStr">
        <is>
          <t>gas-headers</t>
        </is>
      </c>
      <c r="K204" t="inlineStr">
        <is>
          <t>H2_DRYER</t>
        </is>
      </c>
      <c r="L204" t="inlineStr">
        <is>
          <t>h2p_sensible_ref_T_C</t>
        </is>
      </c>
    </row>
    <row r="205">
      <c r="A205" t="inlineStr">
        <is>
          <t>GAS.scrubbing-headers-train.gas-headers.H2_DRYER.h2p_sieve_bulk_kg_L</t>
        </is>
      </c>
      <c r="B205" s="4" t="n">
        <v>0.7</v>
      </c>
      <c r="C205" t="inlineStr">
        <is>
          <t>kg/L 4A/13X sieve bulk density</t>
        </is>
      </c>
      <c r="E205" t="inlineStr">
        <is>
          <t>A-M-168</t>
        </is>
      </c>
      <c r="H205" t="inlineStr">
        <is>
          <t>GAS</t>
        </is>
      </c>
      <c r="I205" t="inlineStr">
        <is>
          <t>scrubbing-headers-train</t>
        </is>
      </c>
      <c r="J205" t="inlineStr">
        <is>
          <t>gas-headers</t>
        </is>
      </c>
      <c r="K205" t="inlineStr">
        <is>
          <t>H2_DRYER</t>
        </is>
      </c>
      <c r="L205" t="inlineStr">
        <is>
          <t>h2p_sieve_bulk_kg_L</t>
        </is>
      </c>
    </row>
    <row r="206">
      <c r="A206" t="inlineStr">
        <is>
          <t>GAS.scrubbing-headers-train.gas-headers.H2_DRYER.h2p_sieve_cp_kJ_kgK</t>
        </is>
      </c>
      <c r="B206" s="4" t="n">
        <v>0.92</v>
      </c>
      <c r="C206" t="inlineStr">
        <is>
          <t>kJ/(kg K) sieve specific heat in regeneration</t>
        </is>
      </c>
      <c r="E206" t="inlineStr">
        <is>
          <t>A-M-168</t>
        </is>
      </c>
      <c r="H206" t="inlineStr">
        <is>
          <t>GAS</t>
        </is>
      </c>
      <c r="I206" t="inlineStr">
        <is>
          <t>scrubbing-headers-train</t>
        </is>
      </c>
      <c r="J206" t="inlineStr">
        <is>
          <t>gas-headers</t>
        </is>
      </c>
      <c r="K206" t="inlineStr">
        <is>
          <t>H2_DRYER</t>
        </is>
      </c>
      <c r="L206" t="inlineStr">
        <is>
          <t>h2p_sieve_cp_kJ_kgK</t>
        </is>
      </c>
    </row>
    <row r="207">
      <c r="A207" t="inlineStr">
        <is>
          <t>GAS.scrubbing-headers-train.gas-headers.H2_DRYER.h2p_steel_cp_kJ_kgK</t>
        </is>
      </c>
      <c r="B207" s="4" t="n">
        <v>0.5</v>
      </c>
      <c r="C207" t="inlineStr">
        <is>
          <t>kJ/(kg K) steel specific heat in regeneration</t>
        </is>
      </c>
      <c r="E207" t="inlineStr">
        <is>
          <t>A-M-168</t>
        </is>
      </c>
      <c r="H207" t="inlineStr">
        <is>
          <t>GAS</t>
        </is>
      </c>
      <c r="I207" t="inlineStr">
        <is>
          <t>scrubbing-headers-train</t>
        </is>
      </c>
      <c r="J207" t="inlineStr">
        <is>
          <t>gas-headers</t>
        </is>
      </c>
      <c r="K207" t="inlineStr">
        <is>
          <t>H2_DRYER</t>
        </is>
      </c>
      <c r="L207" t="inlineStr">
        <is>
          <t>h2p_steel_cp_kJ_kgK</t>
        </is>
      </c>
    </row>
    <row r="208">
      <c r="A208" t="inlineStr">
        <is>
          <t>GAS.scrubbing-headers-train.gas-headers.H2_DRYER.h2p_steel_rho_kg_m3</t>
        </is>
      </c>
      <c r="B208" s="4" t="n">
        <v>8000</v>
      </c>
      <c r="C208" t="inlineStr">
        <is>
          <t>kg/m3 steel density for the regeneration sensible heat</t>
        </is>
      </c>
      <c r="E208" t="inlineStr">
        <is>
          <t>A-M-168 (X-MFG-39)</t>
        </is>
      </c>
      <c r="H208" t="inlineStr">
        <is>
          <t>GAS</t>
        </is>
      </c>
      <c r="I208" t="inlineStr">
        <is>
          <t>scrubbing-headers-train</t>
        </is>
      </c>
      <c r="J208" t="inlineStr">
        <is>
          <t>gas-headers</t>
        </is>
      </c>
      <c r="K208" t="inlineStr">
        <is>
          <t>H2_DRYER</t>
        </is>
      </c>
      <c r="L208" t="inlineStr">
        <is>
          <t>h2p_steel_rho_kg_m3</t>
        </is>
      </c>
    </row>
    <row r="209">
      <c r="A209" t="inlineStr">
        <is>
          <t>GAS.scrubbing-headers-train.gas-headers.H2_DRYER.h2p_steel_wall_m</t>
        </is>
      </c>
      <c r="B209" s="4" t="n">
        <v>0.0039</v>
      </c>
      <c r="C209" t="inlineStr">
        <is>
          <t>m wall used in the regeneration steel mass (3.91 mm rounded)</t>
        </is>
      </c>
      <c r="E209" t="inlineStr">
        <is>
          <t>A-M-168</t>
        </is>
      </c>
      <c r="H209" t="inlineStr">
        <is>
          <t>GAS</t>
        </is>
      </c>
      <c r="I209" t="inlineStr">
        <is>
          <t>scrubbing-headers-train</t>
        </is>
      </c>
      <c r="J209" t="inlineStr">
        <is>
          <t>gas-headers</t>
        </is>
      </c>
      <c r="K209" t="inlineStr">
        <is>
          <t>H2_DRYER</t>
        </is>
      </c>
      <c r="L209" t="inlineStr">
        <is>
          <t>h2p_steel_wall_m</t>
        </is>
      </c>
    </row>
    <row r="210">
      <c r="A210" t="inlineStr">
        <is>
          <t>GAS.scrubbing-headers-train.gas-headers.H2_DRYER.h2p_tube_OD_large_mm</t>
        </is>
      </c>
      <c r="B210" s="4" t="n">
        <v>60.3</v>
      </c>
      <c r="C210" t="inlineStr">
        <is>
          <t>mm tube OD above the volume switch (2 in NPS)</t>
        </is>
      </c>
      <c r="D210" t="inlineStr">
        <is>
          <t>ASME_B36_10M</t>
        </is>
      </c>
      <c r="H210" t="inlineStr">
        <is>
          <t>GAS</t>
        </is>
      </c>
      <c r="I210" t="inlineStr">
        <is>
          <t>scrubbing-headers-train</t>
        </is>
      </c>
      <c r="J210" t="inlineStr">
        <is>
          <t>gas-headers</t>
        </is>
      </c>
      <c r="K210" t="inlineStr">
        <is>
          <t>H2_DRYER</t>
        </is>
      </c>
      <c r="L210" t="inlineStr">
        <is>
          <t>h2p_tube_OD_large_mm</t>
        </is>
      </c>
    </row>
    <row r="211">
      <c r="A211" t="inlineStr">
        <is>
          <t>GAS.scrubbing-headers-train.gas-headers.H2_DRYER.h2p_tube_OD_small_mm</t>
        </is>
      </c>
      <c r="B211" s="4" t="n">
        <v>33.4</v>
      </c>
      <c r="C211" t="inlineStr">
        <is>
          <t>mm tube OD below the volume switch (1 in NPS)</t>
        </is>
      </c>
      <c r="D211" t="inlineStr">
        <is>
          <t>ASME_B36_10M</t>
        </is>
      </c>
      <c r="H211" t="inlineStr">
        <is>
          <t>GAS</t>
        </is>
      </c>
      <c r="I211" t="inlineStr">
        <is>
          <t>scrubbing-headers-train</t>
        </is>
      </c>
      <c r="J211" t="inlineStr">
        <is>
          <t>gas-headers</t>
        </is>
      </c>
      <c r="K211" t="inlineStr">
        <is>
          <t>H2_DRYER</t>
        </is>
      </c>
      <c r="L211" t="inlineStr">
        <is>
          <t>h2p_tube_OD_small_mm</t>
        </is>
      </c>
    </row>
    <row r="212">
      <c r="A212" t="inlineStr">
        <is>
          <t>GAS.scrubbing-headers-train.gas-headers.H2_DRYER.h2p_tube_vol_switch_L</t>
        </is>
      </c>
      <c r="B212" s="4" t="n">
        <v>0.25</v>
      </c>
      <c r="C212" t="inlineStr">
        <is>
          <t>L bed volume at the 1 in / 2 in tube switch</t>
        </is>
      </c>
      <c r="E212" t="inlineStr">
        <is>
          <t>A-M-168</t>
        </is>
      </c>
      <c r="H212" t="inlineStr">
        <is>
          <t>GAS</t>
        </is>
      </c>
      <c r="I212" t="inlineStr">
        <is>
          <t>scrubbing-headers-train</t>
        </is>
      </c>
      <c r="J212" t="inlineStr">
        <is>
          <t>gas-headers</t>
        </is>
      </c>
      <c r="K212" t="inlineStr">
        <is>
          <t>H2_DRYER</t>
        </is>
      </c>
      <c r="L212" t="inlineStr">
        <is>
          <t>h2p_tube_vol_switch_L</t>
        </is>
      </c>
    </row>
    <row r="213">
      <c r="A213" t="inlineStr">
        <is>
          <t>GAS.scrubbing-headers-train.gas-headers.H2_DRYER.h2p_wall_large_mm</t>
        </is>
      </c>
      <c r="B213" s="4" t="n">
        <v>3.91</v>
      </c>
      <c r="C213" t="inlineStr">
        <is>
          <t>mm Sch 40 wall, 2 in NPS bed tube</t>
        </is>
      </c>
      <c r="D213" t="inlineStr">
        <is>
          <t>ASME_B36_10M</t>
        </is>
      </c>
      <c r="H213" t="inlineStr">
        <is>
          <t>GAS</t>
        </is>
      </c>
      <c r="I213" t="inlineStr">
        <is>
          <t>scrubbing-headers-train</t>
        </is>
      </c>
      <c r="J213" t="inlineStr">
        <is>
          <t>gas-headers</t>
        </is>
      </c>
      <c r="K213" t="inlineStr">
        <is>
          <t>H2_DRYER</t>
        </is>
      </c>
      <c r="L213" t="inlineStr">
        <is>
          <t>h2p_wall_large_mm</t>
        </is>
      </c>
    </row>
    <row r="214">
      <c r="A214" t="inlineStr">
        <is>
          <t>GAS.scrubbing-headers-train.gas-headers.H2_DRYER.h2p_wall_small_mm</t>
        </is>
      </c>
      <c r="B214" s="4" t="n">
        <v>3.38</v>
      </c>
      <c r="C214" t="inlineStr">
        <is>
          <t>mm Sch 40 wall, 1 in NPS bed tube</t>
        </is>
      </c>
      <c r="D214" t="inlineStr">
        <is>
          <t>ASME_B36_10M</t>
        </is>
      </c>
      <c r="H214" t="inlineStr">
        <is>
          <t>GAS</t>
        </is>
      </c>
      <c r="I214" t="inlineStr">
        <is>
          <t>scrubbing-headers-train</t>
        </is>
      </c>
      <c r="J214" t="inlineStr">
        <is>
          <t>gas-headers</t>
        </is>
      </c>
      <c r="K214" t="inlineStr">
        <is>
          <t>H2_DRYER</t>
        </is>
      </c>
      <c r="L214" t="inlineStr">
        <is>
          <t>h2p_wall_small_mm</t>
        </is>
      </c>
    </row>
    <row r="215">
      <c r="A215" t="inlineStr">
        <is>
          <t>GAS.scrubbing-headers-train.gas-headers.H2_DRYER.h2p_water_desorb_kJ_kg</t>
        </is>
      </c>
      <c r="B215" s="4" t="n">
        <v>2500</v>
      </c>
      <c r="C215" t="inlineStr">
        <is>
          <t>kJ/kg water desorption heat from the sieve (2.5 MJ/kg)</t>
        </is>
      </c>
      <c r="E215" t="inlineStr">
        <is>
          <t>A-M-168 (X-MFG-39)</t>
        </is>
      </c>
      <c r="H215" t="inlineStr">
        <is>
          <t>GAS</t>
        </is>
      </c>
      <c r="I215" t="inlineStr">
        <is>
          <t>scrubbing-headers-train</t>
        </is>
      </c>
      <c r="J215" t="inlineStr">
        <is>
          <t>gas-headers</t>
        </is>
      </c>
      <c r="K215" t="inlineStr">
        <is>
          <t>H2_DRYER</t>
        </is>
      </c>
      <c r="L215" t="inlineStr">
        <is>
          <t>h2p_water_desorb_kJ_kg</t>
        </is>
      </c>
    </row>
    <row r="216">
      <c r="A216" t="inlineStr">
        <is>
          <t>GAS.scrubbing-headers-train.scrubbing.hs_bed_min_m</t>
        </is>
      </c>
      <c r="B216" s="4" t="n">
        <v>0.5</v>
      </c>
      <c r="C216" t="inlineStr">
        <is>
          <t>m minimum packed bed (one distributor and support stage)</t>
        </is>
      </c>
      <c r="E216" t="inlineStr">
        <is>
          <t>A-M-164</t>
        </is>
      </c>
      <c r="H216" t="inlineStr">
        <is>
          <t>GAS</t>
        </is>
      </c>
      <c r="I216" t="inlineStr">
        <is>
          <t>scrubbing-headers-train</t>
        </is>
      </c>
      <c r="J216" t="inlineStr">
        <is>
          <t>scrubbing</t>
        </is>
      </c>
      <c r="K216" t="inlineStr">
        <is>
          <t>hs_bed_min_m</t>
        </is>
      </c>
    </row>
    <row r="217">
      <c r="A217" t="inlineStr">
        <is>
          <t>GAS.scrubbing-headers-train.scrubbing.hs_envelope_side_mm</t>
        </is>
      </c>
      <c r="B217" s="4" t="n">
        <v>400</v>
      </c>
      <c r="C217" t="inlineStr">
        <is>
          <t>mm plan allowance past the shell on each side</t>
        </is>
      </c>
      <c r="E217" t="inlineStr">
        <is>
          <t>A-M-164</t>
        </is>
      </c>
      <c r="H217" t="inlineStr">
        <is>
          <t>GAS</t>
        </is>
      </c>
      <c r="I217" t="inlineStr">
        <is>
          <t>scrubbing-headers-train</t>
        </is>
      </c>
      <c r="J217" t="inlineStr">
        <is>
          <t>scrubbing</t>
        </is>
      </c>
      <c r="K217" t="inlineStr">
        <is>
          <t>hs_envelope_side_mm</t>
        </is>
      </c>
    </row>
    <row r="218">
      <c r="A218" t="inlineStr">
        <is>
          <t>GAS.scrubbing-headers-train.scrubbing.hs_envelope_top_mm</t>
        </is>
      </c>
      <c r="B218" s="4" t="n">
        <v>300</v>
      </c>
      <c r="C218" t="inlineStr">
        <is>
          <t>mm height allowance past the vessel</t>
        </is>
      </c>
      <c r="E218" t="inlineStr">
        <is>
          <t>A-M-164</t>
        </is>
      </c>
      <c r="H218" t="inlineStr">
        <is>
          <t>GAS</t>
        </is>
      </c>
      <c r="I218" t="inlineStr">
        <is>
          <t>scrubbing-headers-train</t>
        </is>
      </c>
      <c r="J218" t="inlineStr">
        <is>
          <t>scrubbing</t>
        </is>
      </c>
      <c r="K218" t="inlineStr">
        <is>
          <t>hs_envelope_top_mm</t>
        </is>
      </c>
    </row>
    <row r="219">
      <c r="A219" t="inlineStr">
        <is>
          <t>GAS.scrubbing-headers-train.scrubbing.hs_fixed_dP_Pa</t>
        </is>
      </c>
      <c r="B219" s="4" t="n">
        <v>250</v>
      </c>
      <c r="C219" t="inlineStr">
        <is>
          <t>Pa fixed losses: demister, distributor, ducts</t>
        </is>
      </c>
      <c r="E219" t="inlineStr">
        <is>
          <t>A-M-164</t>
        </is>
      </c>
      <c r="H219" t="inlineStr">
        <is>
          <t>GAS</t>
        </is>
      </c>
      <c r="I219" t="inlineStr">
        <is>
          <t>scrubbing-headers-train</t>
        </is>
      </c>
      <c r="J219" t="inlineStr">
        <is>
          <t>scrubbing</t>
        </is>
      </c>
      <c r="K219" t="inlineStr">
        <is>
          <t>hs_fixed_dP_Pa</t>
        </is>
      </c>
    </row>
    <row r="220">
      <c r="A220" t="inlineStr">
        <is>
          <t>GAS.scrubbing-headers-train.scrubbing.hs_gas_rho_kg_m3</t>
        </is>
      </c>
      <c r="B220" s="4" t="n">
        <v>1.2</v>
      </c>
      <c r="C220" t="inlineStr">
        <is>
          <t>kg/m3 gas density at ambient</t>
        </is>
      </c>
      <c r="E220" t="inlineStr">
        <is>
          <t>A-M-164 (X-PAR-03)</t>
        </is>
      </c>
      <c r="H220" t="inlineStr">
        <is>
          <t>GAS</t>
        </is>
      </c>
      <c r="I220" t="inlineStr">
        <is>
          <t>scrubbing-headers-train</t>
        </is>
      </c>
      <c r="J220" t="inlineStr">
        <is>
          <t>scrubbing</t>
        </is>
      </c>
      <c r="K220" t="inlineStr">
        <is>
          <t>hs_gas_rho_kg_m3</t>
        </is>
      </c>
    </row>
    <row r="221">
      <c r="A221" t="inlineStr">
        <is>
          <t>GAS.scrubbing-headers-train.scrubbing.hs_vessel_allow_mm</t>
        </is>
      </c>
      <c r="B221" s="4" t="n">
        <v>1500</v>
      </c>
      <c r="C221" t="inlineStr">
        <is>
          <t>mm sump 600 + distributor and demister 900 in vessel height</t>
        </is>
      </c>
      <c r="E221" t="inlineStr">
        <is>
          <t>A-M-164</t>
        </is>
      </c>
      <c r="H221" t="inlineStr">
        <is>
          <t>GAS</t>
        </is>
      </c>
      <c r="I221" t="inlineStr">
        <is>
          <t>scrubbing-headers-train</t>
        </is>
      </c>
      <c r="J221" t="inlineStr">
        <is>
          <t>scrubbing</t>
        </is>
      </c>
      <c r="K221" t="inlineStr">
        <is>
          <t>hs_vessel_allow_mm</t>
        </is>
      </c>
    </row>
    <row r="222">
      <c r="A222" t="inlineStr">
        <is>
          <t>GEO.geo-loop.bp_ux_U_kW_m2K</t>
        </is>
      </c>
      <c r="B222" s="4" t="n">
        <v>2</v>
      </c>
      <c r="C222" t="inlineStr">
        <is>
          <t>kW/m2 K brazed-plate U</t>
        </is>
      </c>
      <c r="D222" t="inlineStr">
        <is>
          <t>PERRY9</t>
        </is>
      </c>
      <c r="H222" t="inlineStr">
        <is>
          <t>GEO</t>
        </is>
      </c>
      <c r="I222" t="inlineStr">
        <is>
          <t>geo-loop</t>
        </is>
      </c>
      <c r="J222" t="inlineStr">
        <is>
          <t>bp_ux_U_kW_m2K</t>
        </is>
      </c>
    </row>
    <row r="223">
      <c r="A223" t="inlineStr">
        <is>
          <t>GEO.geo-loop.bp_ux_dT_K</t>
        </is>
      </c>
      <c r="B223" s="4" t="n">
        <v>5</v>
      </c>
      <c r="C223" t="inlineStr">
        <is>
          <t>K exchanger approach</t>
        </is>
      </c>
      <c r="D223" t="inlineStr">
        <is>
          <t>PERRY9</t>
        </is>
      </c>
      <c r="H223" t="inlineStr">
        <is>
          <t>GEO</t>
        </is>
      </c>
      <c r="I223" t="inlineStr">
        <is>
          <t>geo-loop</t>
        </is>
      </c>
      <c r="J223" t="inlineStr">
        <is>
          <t>bp_ux_dT_K</t>
        </is>
      </c>
    </row>
    <row r="224">
      <c r="A224" t="inlineStr">
        <is>
          <t>GEO.geo-loop.geo_hp_cop_design</t>
        </is>
      </c>
      <c r="B224" s="4" t="n">
        <v>3.2</v>
      </c>
      <c r="C224" t="inlineStr">
        <is>
          <t>COP at the winter design point</t>
        </is>
      </c>
      <c r="D224" t="inlineStr">
        <is>
          <t>graph S44/SF-GEO_HP; AQS-HEAT-STUDY-002 sec. 6 (COP 3.43 at 285 K)</t>
        </is>
      </c>
      <c r="H224" t="inlineStr">
        <is>
          <t>GEO</t>
        </is>
      </c>
      <c r="I224" t="inlineStr">
        <is>
          <t>geo-loop</t>
        </is>
      </c>
      <c r="J224" t="inlineStr">
        <is>
          <t>geo_hp_cop_design</t>
        </is>
      </c>
    </row>
    <row r="225">
      <c r="A225" t="inlineStr">
        <is>
          <t>GEO.geo-loop.geo_hp_module_min_kW</t>
        </is>
      </c>
      <c r="B225" s="4" t="n">
        <v>2.2</v>
      </c>
      <c r="C225" t="inlineStr">
        <is>
          <t>kW_th minimum module</t>
        </is>
      </c>
      <c r="D225" t="inlineStr">
        <is>
          <t>scroll-class catalogue minimum near the issued lift (AQS-HEAT-STUDY-002 sec. 6 GEO_HP module basis)</t>
        </is>
      </c>
      <c r="H225" t="inlineStr">
        <is>
          <t>GEO</t>
        </is>
      </c>
      <c r="I225" t="inlineStr">
        <is>
          <t>geo-loop</t>
        </is>
      </c>
      <c r="J225" t="inlineStr">
        <is>
          <t>geo_hp_module_min_kW</t>
        </is>
      </c>
    </row>
    <row r="226">
      <c r="A226" t="inlineStr">
        <is>
          <t>GEO.geo-loop.ghex_bore_depth_m</t>
        </is>
      </c>
      <c r="B226" s="4" t="n">
        <v>45</v>
      </c>
      <c r="C226" t="inlineStr">
        <is>
          <t>m bore depth</t>
        </is>
      </c>
      <c r="D226" t="inlineStr">
        <is>
          <t>KAVANAUGH2014</t>
        </is>
      </c>
      <c r="H226" t="inlineStr">
        <is>
          <t>GEO</t>
        </is>
      </c>
      <c r="I226" t="inlineStr">
        <is>
          <t>geo-loop</t>
        </is>
      </c>
      <c r="J226" t="inlineStr">
        <is>
          <t>ghex_bore_depth_m</t>
        </is>
      </c>
    </row>
    <row r="227">
      <c r="A227" t="inlineStr">
        <is>
          <t>GEO.geo-loop.ghex_bore_spacing_m</t>
        </is>
      </c>
      <c r="B227" s="4" t="n">
        <v>6</v>
      </c>
      <c r="C227" t="inlineStr">
        <is>
          <t>m bore spacing</t>
        </is>
      </c>
      <c r="E227" t="inlineStr">
        <is>
          <t>A-M-292</t>
        </is>
      </c>
      <c r="H227" t="inlineStr">
        <is>
          <t>GEO</t>
        </is>
      </c>
      <c r="I227" t="inlineStr">
        <is>
          <t>geo-loop</t>
        </is>
      </c>
      <c r="J227" t="inlineStr">
        <is>
          <t>ghex_bore_spacing_m</t>
        </is>
      </c>
    </row>
    <row r="228">
      <c r="A228" t="inlineStr">
        <is>
          <t>GEO.geo-loop.ghex_q_per_m_W</t>
        </is>
      </c>
      <c r="B228" s="4" t="n">
        <v>35</v>
      </c>
      <c r="C228" t="inlineStr">
        <is>
          <t>W/m sustained per-metre bore capacity</t>
        </is>
      </c>
      <c r="D228" t="inlineStr">
        <is>
          <t>KAVANAUGH2014</t>
        </is>
      </c>
      <c r="E228" t="inlineStr">
        <is>
          <t>A-M-291</t>
        </is>
      </c>
      <c r="F228" t="b">
        <v>1</v>
      </c>
      <c r="G228" t="inlineStr">
        <is>
          <t>Thermal response test on the first bore (ST-ORC-01)</t>
        </is>
      </c>
      <c r="H228" t="inlineStr">
        <is>
          <t>GEO</t>
        </is>
      </c>
      <c r="I228" t="inlineStr">
        <is>
          <t>geo-loop</t>
        </is>
      </c>
      <c r="J228" t="inlineStr">
        <is>
          <t>ghex_q_per_m_W</t>
        </is>
      </c>
    </row>
    <row r="229">
      <c r="A229" t="inlineStr">
        <is>
          <t>GEO.geo-loop.glycol_cp_kJ_kgK</t>
        </is>
      </c>
      <c r="B229" s="4" t="n">
        <v>3.9</v>
      </c>
      <c r="C229" t="inlineStr">
        <is>
          <t>kJ/kg K 25 % propylene glycol</t>
        </is>
      </c>
      <c r="E229" t="inlineStr">
        <is>
          <t>A-M-293</t>
        </is>
      </c>
      <c r="H229" t="inlineStr">
        <is>
          <t>GEO</t>
        </is>
      </c>
      <c r="I229" t="inlineStr">
        <is>
          <t>geo-loop</t>
        </is>
      </c>
      <c r="J229" t="inlineStr">
        <is>
          <t>glycol_cp_kJ_kgK</t>
        </is>
      </c>
    </row>
    <row r="230">
      <c r="A230" t="inlineStr">
        <is>
          <t>GEO.geo-loop.glycol_dT_K</t>
        </is>
      </c>
      <c r="B230" s="4" t="n">
        <v>3</v>
      </c>
      <c r="C230" t="inlineStr">
        <is>
          <t>K source-loop rise</t>
        </is>
      </c>
      <c r="E230" t="inlineStr">
        <is>
          <t>A-M-294</t>
        </is>
      </c>
      <c r="H230" t="inlineStr">
        <is>
          <t>GEO</t>
        </is>
      </c>
      <c r="I230" t="inlineStr">
        <is>
          <t>geo-loop</t>
        </is>
      </c>
      <c r="J230" t="inlineStr">
        <is>
          <t>glycol_dT_K</t>
        </is>
      </c>
    </row>
    <row r="231">
      <c r="A231" t="inlineStr">
        <is>
          <t>GEO.geo-loop.glycol_rho_kg_m3</t>
        </is>
      </c>
      <c r="B231" s="4" t="n">
        <v>1030</v>
      </c>
      <c r="C231" t="inlineStr">
        <is>
          <t>kg/m3 25 % propylene glycol</t>
        </is>
      </c>
      <c r="E231" t="inlineStr">
        <is>
          <t>A-M-293</t>
        </is>
      </c>
      <c r="H231" t="inlineStr">
        <is>
          <t>GEO</t>
        </is>
      </c>
      <c r="I231" t="inlineStr">
        <is>
          <t>geo-loop</t>
        </is>
      </c>
      <c r="J231" t="inlineStr">
        <is>
          <t>glycol_rho_kg_m3</t>
        </is>
      </c>
    </row>
    <row r="232">
      <c r="A232" t="inlineStr">
        <is>
          <t>GEO.geo-loop.glycol_v_m_s</t>
        </is>
      </c>
      <c r="B232" s="4" t="n">
        <v>1</v>
      </c>
      <c r="C232" t="inlineStr">
        <is>
          <t>m/s loop velocity</t>
        </is>
      </c>
      <c r="D232" t="inlineStr">
        <is>
          <t>PERRY9</t>
        </is>
      </c>
      <c r="H232" t="inlineStr">
        <is>
          <t>GEO</t>
        </is>
      </c>
      <c r="I232" t="inlineStr">
        <is>
          <t>geo-loop</t>
        </is>
      </c>
      <c r="J232" t="inlineStr">
        <is>
          <t>glycol_v_m_s</t>
        </is>
      </c>
    </row>
    <row r="233">
      <c r="A233" t="inlineStr">
        <is>
          <t>GEO.geo-loop.glycol_vol_pct</t>
        </is>
      </c>
      <c r="B233" s="4" t="n">
        <v>25</v>
      </c>
      <c r="C233" t="inlineStr">
        <is>
          <t>vol % propylene glycol</t>
        </is>
      </c>
      <c r="E233" t="inlineStr">
        <is>
          <t>A-M-293</t>
        </is>
      </c>
      <c r="H233" t="inlineStr">
        <is>
          <t>GEO</t>
        </is>
      </c>
      <c r="I233" t="inlineStr">
        <is>
          <t>geo-loop</t>
        </is>
      </c>
      <c r="J233" t="inlineStr">
        <is>
          <t>glycol_vol_pct</t>
        </is>
      </c>
    </row>
    <row r="234">
      <c r="A234" t="inlineStr">
        <is>
          <t>GEO.geo-loop.loop_head_m</t>
        </is>
      </c>
      <c r="B234" s="4" t="n">
        <v>25</v>
      </c>
      <c r="C234" t="inlineStr">
        <is>
          <t>m loop circuit head</t>
        </is>
      </c>
      <c r="E234" t="inlineStr">
        <is>
          <t>A-M-294</t>
        </is>
      </c>
      <c r="F234" t="b">
        <v>1</v>
      </c>
      <c r="G234" t="inlineStr">
        <is>
          <t>Circuit head from the routed loop isometric</t>
        </is>
      </c>
      <c r="H234" t="inlineStr">
        <is>
          <t>GEO</t>
        </is>
      </c>
      <c r="I234" t="inlineStr">
        <is>
          <t>geo-loop</t>
        </is>
      </c>
      <c r="J234" t="inlineStr">
        <is>
          <t>loop_head_m</t>
        </is>
      </c>
    </row>
    <row r="235">
      <c r="A235" t="inlineStr">
        <is>
          <t>GEO.geo-loop.loop_pump_eff</t>
        </is>
      </c>
      <c r="B235" s="4" t="n">
        <v>0.5</v>
      </c>
      <c r="C235" t="inlineStr">
        <is>
          <t>fraction circulator wire-to-water</t>
        </is>
      </c>
      <c r="D235" t="inlineStr">
        <is>
          <t>PERRY9</t>
        </is>
      </c>
      <c r="H235" t="inlineStr">
        <is>
          <t>GEO</t>
        </is>
      </c>
      <c r="I235" t="inlineStr">
        <is>
          <t>geo-loop</t>
        </is>
      </c>
      <c r="J235" t="inlineStr">
        <is>
          <t>loop_pump_eff</t>
        </is>
      </c>
    </row>
    <row r="236">
      <c r="A236" t="inlineStr">
        <is>
          <t>GEO.orc-train.eta_th</t>
        </is>
      </c>
      <c r="B236" s="4" t="n">
        <v>0.1</v>
      </c>
      <c r="C236" t="inlineStr">
        <is>
          <t>fraction</t>
        </is>
      </c>
      <c r="D236" t="inlineStr">
        <is>
          <t>binary ORC 0.08-0.12 study band mid (AQS-EQP-STUDY-001 sec.5; D-GEO_ORC)</t>
        </is>
      </c>
      <c r="H236" t="inlineStr">
        <is>
          <t>GEO</t>
        </is>
      </c>
      <c r="I236" t="inlineStr">
        <is>
          <t>orc-train</t>
        </is>
      </c>
      <c r="J236" t="inlineStr">
        <is>
          <t>eta_th</t>
        </is>
      </c>
    </row>
    <row r="237">
      <c r="A237" t="inlineStr">
        <is>
          <t>GEO.orc-train.q_sink_kW</t>
        </is>
      </c>
      <c r="B237" s="4" t="n">
        <v>12</v>
      </c>
      <c r="C237" t="inlineStr">
        <is>
          <t>kW thermal</t>
        </is>
      </c>
      <c r="D237" t="inlineStr">
        <is>
          <t>dry-cooler rejection rating that bounds the ORC heat sink context (A-M-244; D-GEO_ORC)</t>
        </is>
      </c>
      <c r="H237" t="inlineStr">
        <is>
          <t>GEO</t>
        </is>
      </c>
      <c r="I237" t="inlineStr">
        <is>
          <t>orc-train</t>
        </is>
      </c>
      <c r="J237" t="inlineStr">
        <is>
          <t>q_sink_kW</t>
        </is>
      </c>
    </row>
    <row r="238">
      <c r="A238" t="inlineStr">
        <is>
          <t>HAB.life-support-train.HABITATION.cdra_half_cycle_min</t>
        </is>
      </c>
      <c r="B238" s="4" t="n">
        <v>144</v>
      </c>
      <c r="C238" t="inlineStr">
        <is>
          <t>min adsorbent-bed half-cycle</t>
        </is>
      </c>
      <c r="D238" t="inlineStr">
        <is>
          <t>NASA_CDRA2015</t>
        </is>
      </c>
      <c r="H238" t="inlineStr">
        <is>
          <t>HAB</t>
        </is>
      </c>
      <c r="I238" t="inlineStr">
        <is>
          <t>life-support-train</t>
        </is>
      </c>
      <c r="J238" t="inlineStr">
        <is>
          <t>HABITATION</t>
        </is>
      </c>
      <c r="K238" t="inlineStr">
        <is>
          <t>cdra_half_cycle_min</t>
        </is>
      </c>
    </row>
    <row r="239">
      <c r="A239" t="inlineStr">
        <is>
          <t>HDR.headers-train.hdr_cp_water_kJ_kgK</t>
        </is>
      </c>
      <c r="B239" s="4" t="n">
        <v>4.186</v>
      </c>
      <c r="C239" t="inlineStr">
        <is>
          <t>kJ/kg K water</t>
        </is>
      </c>
      <c r="D239" t="inlineStr">
        <is>
          <t>IAPWS_IF97</t>
        </is>
      </c>
      <c r="H239" t="inlineStr">
        <is>
          <t>HDR</t>
        </is>
      </c>
      <c r="I239" t="inlineStr">
        <is>
          <t>headers-train</t>
        </is>
      </c>
      <c r="J239" t="inlineStr">
        <is>
          <t>hdr_cp_water_kJ_kgK</t>
        </is>
      </c>
    </row>
    <row r="240">
      <c r="A240" t="inlineStr">
        <is>
          <t>HDR.headers-train.hdr_min_DN_flue</t>
        </is>
      </c>
      <c r="B240" s="4" t="n">
        <v>100</v>
      </c>
      <c r="C240" t="inlineStr">
        <is>
          <t>DN minimum, afterburner flue</t>
        </is>
      </c>
      <c r="E240" t="inlineStr">
        <is>
          <t>A-M-288</t>
        </is>
      </c>
      <c r="F240" t="b">
        <v>1</v>
      </c>
      <c r="G240" t="inlineStr">
        <is>
          <t>Natural-draft and condensate-drainage check on the flue routing drawing</t>
        </is>
      </c>
      <c r="H240" t="inlineStr">
        <is>
          <t>HDR</t>
        </is>
      </c>
      <c r="I240" t="inlineStr">
        <is>
          <t>headers-train</t>
        </is>
      </c>
      <c r="J240" t="inlineStr">
        <is>
          <t>hdr_min_DN_flue</t>
        </is>
      </c>
    </row>
    <row r="241">
      <c r="A241" t="inlineStr">
        <is>
          <t>HDR.headers-train.hdr_min_DN_gas</t>
        </is>
      </c>
      <c r="B241" s="4" t="n">
        <v>25</v>
      </c>
      <c r="C241" t="inlineStr">
        <is>
          <t>DN minimum, gas headers</t>
        </is>
      </c>
      <c r="E241" t="inlineStr">
        <is>
          <t>A-M-287</t>
        </is>
      </c>
      <c r="F241" t="b">
        <v>1</v>
      </c>
      <c r="G241" t="inlineStr">
        <is>
          <t>Take-off and instrument tapping check on the header GA at unit task 05</t>
        </is>
      </c>
      <c r="H241" t="inlineStr">
        <is>
          <t>HDR</t>
        </is>
      </c>
      <c r="I241" t="inlineStr">
        <is>
          <t>headers-train</t>
        </is>
      </c>
      <c r="J241" t="inlineStr">
        <is>
          <t>hdr_min_DN_gas</t>
        </is>
      </c>
    </row>
    <row r="242">
      <c r="A242" t="inlineStr">
        <is>
          <t>HDR.headers-train.hdr_min_DN_water</t>
        </is>
      </c>
      <c r="B242" s="4" t="n">
        <v>25</v>
      </c>
      <c r="C242" t="inlineStr">
        <is>
          <t>DN minimum, water headers</t>
        </is>
      </c>
      <c r="E242" t="inlineStr">
        <is>
          <t>A-M-287</t>
        </is>
      </c>
      <c r="H242" t="inlineStr">
        <is>
          <t>HDR</t>
        </is>
      </c>
      <c r="I242" t="inlineStr">
        <is>
          <t>headers-train</t>
        </is>
      </c>
      <c r="J242" t="inlineStr">
        <is>
          <t>hdr_min_DN_water</t>
        </is>
      </c>
    </row>
    <row r="243">
      <c r="A243" t="inlineStr">
        <is>
          <t>HDR.headers-train.hdr_rho_CO2</t>
        </is>
      </c>
      <c r="B243" s="4" t="n">
        <v>1.84</v>
      </c>
      <c r="C243" t="inlineStr">
        <is>
          <t>kg/m3 CO2 at 20 C 1 atm</t>
        </is>
      </c>
      <c r="D243" t="inlineStr">
        <is>
          <t>NIST_WEBBOOK</t>
        </is>
      </c>
      <c r="H243" t="inlineStr">
        <is>
          <t>HDR</t>
        </is>
      </c>
      <c r="I243" t="inlineStr">
        <is>
          <t>headers-train</t>
        </is>
      </c>
      <c r="J243" t="inlineStr">
        <is>
          <t>hdr_rho_CO2</t>
        </is>
      </c>
    </row>
    <row r="244">
      <c r="A244" t="inlineStr">
        <is>
          <t>HDR.headers-train.hdr_rho_H2</t>
        </is>
      </c>
      <c r="B244" s="4" t="n">
        <v>0.08400000000000001</v>
      </c>
      <c r="C244" t="inlineStr">
        <is>
          <t>kg/m3 hydrogen at 20 C 1 atm</t>
        </is>
      </c>
      <c r="D244" t="inlineStr">
        <is>
          <t>NIST_WEBBOOK</t>
        </is>
      </c>
      <c r="H244" t="inlineStr">
        <is>
          <t>HDR</t>
        </is>
      </c>
      <c r="I244" t="inlineStr">
        <is>
          <t>headers-train</t>
        </is>
      </c>
      <c r="J244" t="inlineStr">
        <is>
          <t>hdr_rho_H2</t>
        </is>
      </c>
    </row>
    <row r="245">
      <c r="A245" t="inlineStr">
        <is>
          <t>HDR.headers-train.hdr_rho_air</t>
        </is>
      </c>
      <c r="B245" s="4" t="n">
        <v>1.2</v>
      </c>
      <c r="C245" t="inlineStr">
        <is>
          <t>kg/m3 air / N2 class at 20 C</t>
        </is>
      </c>
      <c r="D245" t="inlineStr">
        <is>
          <t>NIST_WEBBOOK</t>
        </is>
      </c>
      <c r="H245" t="inlineStr">
        <is>
          <t>HDR</t>
        </is>
      </c>
      <c r="I245" t="inlineStr">
        <is>
          <t>headers-train</t>
        </is>
      </c>
      <c r="J245" t="inlineStr">
        <is>
          <t>hdr_rho_air</t>
        </is>
      </c>
    </row>
    <row r="246">
      <c r="A246" t="inlineStr">
        <is>
          <t>HDR.headers-train.hdr_rho_flue</t>
        </is>
      </c>
      <c r="B246" s="4" t="n">
        <v>0.75</v>
      </c>
      <c r="C246" t="inlineStr">
        <is>
          <t>kg/m3 flue gas at about 200 C</t>
        </is>
      </c>
      <c r="E246" t="inlineStr">
        <is>
          <t>A-M-289</t>
        </is>
      </c>
      <c r="H246" t="inlineStr">
        <is>
          <t>HDR</t>
        </is>
      </c>
      <c r="I246" t="inlineStr">
        <is>
          <t>headers-train</t>
        </is>
      </c>
      <c r="J246" t="inlineStr">
        <is>
          <t>hdr_rho_flue</t>
        </is>
      </c>
    </row>
    <row r="247">
      <c r="A247" t="inlineStr">
        <is>
          <t>HDR.headers-train.hdr_rho_ncg</t>
        </is>
      </c>
      <c r="B247" s="4" t="n">
        <v>0.5</v>
      </c>
      <c r="C247" t="inlineStr">
        <is>
          <t>kg/m3 pyrolysis NCG at 150-200 C</t>
        </is>
      </c>
      <c r="E247" t="inlineStr">
        <is>
          <t>A-M-289</t>
        </is>
      </c>
      <c r="F247" t="b">
        <v>1</v>
      </c>
      <c r="G247" t="inlineStr">
        <is>
          <t>NCG composition from the pyrolysis assay at the OIL_FRAC unit task</t>
        </is>
      </c>
      <c r="H247" t="inlineStr">
        <is>
          <t>HDR</t>
        </is>
      </c>
      <c r="I247" t="inlineStr">
        <is>
          <t>headers-train</t>
        </is>
      </c>
      <c r="J247" t="inlineStr">
        <is>
          <t>hdr_rho_ncg</t>
        </is>
      </c>
    </row>
    <row r="248">
      <c r="A248" t="inlineStr">
        <is>
          <t>HDR.headers-train.hdr_rho_water</t>
        </is>
      </c>
      <c r="B248" s="4" t="n">
        <v>983</v>
      </c>
      <c r="C248" t="inlineStr">
        <is>
          <t>kg/m3 water at 60 C</t>
        </is>
      </c>
      <c r="D248" t="inlineStr">
        <is>
          <t>IAPWS_IF97</t>
        </is>
      </c>
      <c r="H248" t="inlineStr">
        <is>
          <t>HDR</t>
        </is>
      </c>
      <c r="I248" t="inlineStr">
        <is>
          <t>headers-train</t>
        </is>
      </c>
      <c r="J248" t="inlineStr">
        <is>
          <t>hdr_rho_water</t>
        </is>
      </c>
    </row>
    <row r="249">
      <c r="A249" t="inlineStr">
        <is>
          <t>HDR.headers-train.hdr_run_default_m</t>
        </is>
      </c>
      <c r="B249" s="4" t="n">
        <v>20</v>
      </c>
      <c r="C249" t="inlineStr">
        <is>
          <t>m fallback manifold run when no isometric route exists</t>
        </is>
      </c>
      <c r="E249" t="inlineStr">
        <is>
          <t>A-M-290</t>
        </is>
      </c>
      <c r="F249" t="b">
        <v>1</v>
      </c>
      <c r="G249" t="inlineStr">
        <is>
          <t>Header run lengths from the routed isometrics at the next AQS-ISO-002 regen</t>
        </is>
      </c>
      <c r="H249" t="inlineStr">
        <is>
          <t>HDR</t>
        </is>
      </c>
      <c r="I249" t="inlineStr">
        <is>
          <t>headers-train</t>
        </is>
      </c>
      <c r="J249" t="inlineStr">
        <is>
          <t>hdr_run_default_m</t>
        </is>
      </c>
    </row>
    <row r="250">
      <c r="A250" t="inlineStr">
        <is>
          <t>HDR.headers-train.hdr_v_flue_m_s</t>
        </is>
      </c>
      <c r="B250" s="4" t="n">
        <v>8</v>
      </c>
      <c r="C250" t="inlineStr">
        <is>
          <t>m/s flue design velocity</t>
        </is>
      </c>
      <c r="D250" t="inlineStr">
        <is>
          <t>PERRY9</t>
        </is>
      </c>
      <c r="H250" t="inlineStr">
        <is>
          <t>HDR</t>
        </is>
      </c>
      <c r="I250" t="inlineStr">
        <is>
          <t>headers-train</t>
        </is>
      </c>
      <c r="J250" t="inlineStr">
        <is>
          <t>hdr_v_flue_m_s</t>
        </is>
      </c>
    </row>
    <row r="251">
      <c r="A251" t="inlineStr">
        <is>
          <t>HDR.headers-train.hdr_v_gas_m_s</t>
        </is>
      </c>
      <c r="B251" s="4" t="n">
        <v>8</v>
      </c>
      <c r="C251" t="inlineStr">
        <is>
          <t>m/s gas header design velocity</t>
        </is>
      </c>
      <c r="D251" t="inlineStr">
        <is>
          <t>PERRY9</t>
        </is>
      </c>
      <c r="H251" t="inlineStr">
        <is>
          <t>HDR</t>
        </is>
      </c>
      <c r="I251" t="inlineStr">
        <is>
          <t>headers-train</t>
        </is>
      </c>
      <c r="J251" t="inlineStr">
        <is>
          <t>hdr_v_gas_m_s</t>
        </is>
      </c>
    </row>
    <row r="252">
      <c r="A252" t="inlineStr">
        <is>
          <t>HDR.headers-train.hdr_v_water_m_s</t>
        </is>
      </c>
      <c r="B252" s="4" t="n">
        <v>1.5</v>
      </c>
      <c r="C252" t="inlineStr">
        <is>
          <t>m/s water header design velocity</t>
        </is>
      </c>
      <c r="D252" t="inlineStr">
        <is>
          <t>PERRY9</t>
        </is>
      </c>
      <c r="H252" t="inlineStr">
        <is>
          <t>HDR</t>
        </is>
      </c>
      <c r="I252" t="inlineStr">
        <is>
          <t>headers-train</t>
        </is>
      </c>
      <c r="J252" t="inlineStr">
        <is>
          <t>hdr_v_water_m_s</t>
        </is>
      </c>
    </row>
    <row r="253">
      <c r="A253" t="inlineStr">
        <is>
          <t>HEAT.heat-battery-train.hb_HD</t>
        </is>
      </c>
      <c r="B253" s="4" t="n">
        <v>1.5</v>
      </c>
      <c r="C253" t="inlineStr">
        <is>
          <t>H/D</t>
        </is>
      </c>
      <c r="D253" t="inlineStr">
        <is>
          <t>ASTM_D1998</t>
        </is>
      </c>
      <c r="H253" t="inlineStr">
        <is>
          <t>HEAT</t>
        </is>
      </c>
      <c r="I253" t="inlineStr">
        <is>
          <t>heat-battery-train</t>
        </is>
      </c>
      <c r="J253" t="inlineStr">
        <is>
          <t>hb_HD</t>
        </is>
      </c>
    </row>
    <row r="254">
      <c r="A254" t="inlineStr">
        <is>
          <t>HEAT.heat-battery-train.hb_allow_MPa</t>
        </is>
      </c>
      <c r="B254" s="4" t="n">
        <v>115</v>
      </c>
      <c r="C254" t="inlineStr">
        <is>
          <t>MPa allow, 304L at store temperature</t>
        </is>
      </c>
      <c r="D254" t="inlineStr">
        <is>
          <t>ASME_VIII_1_UG27</t>
        </is>
      </c>
      <c r="H254" t="inlineStr">
        <is>
          <t>HEAT</t>
        </is>
      </c>
      <c r="I254" t="inlineStr">
        <is>
          <t>heat-battery-train</t>
        </is>
      </c>
      <c r="J254" t="inlineStr">
        <is>
          <t>hb_allow_MPa</t>
        </is>
      </c>
    </row>
    <row r="255">
      <c r="A255" t="inlineStr">
        <is>
          <t>HEAT.heat-battery-train.hb_cp_oil_kJ_kgK</t>
        </is>
      </c>
      <c r="B255" s="4" t="n">
        <v>2.1</v>
      </c>
      <c r="C255" t="inlineStr">
        <is>
          <t>kJ/kg K mineral thermal oil</t>
        </is>
      </c>
      <c r="D255" t="inlineStr">
        <is>
          <t>PERRY9</t>
        </is>
      </c>
      <c r="H255" t="inlineStr">
        <is>
          <t>HEAT</t>
        </is>
      </c>
      <c r="I255" t="inlineStr">
        <is>
          <t>heat-battery-train</t>
        </is>
      </c>
      <c r="J255" t="inlineStr">
        <is>
          <t>hb_cp_oil_kJ_kgK</t>
        </is>
      </c>
    </row>
    <row r="256">
      <c r="A256" t="inlineStr">
        <is>
          <t>HEAT.heat-battery-train.hb_cp_water_kJ_kgK</t>
        </is>
      </c>
      <c r="B256" s="4" t="n">
        <v>4.186</v>
      </c>
      <c r="C256" t="inlineStr">
        <is>
          <t>kJ/kg K water</t>
        </is>
      </c>
      <c r="D256" t="inlineStr">
        <is>
          <t>IAPWS_IF97</t>
        </is>
      </c>
      <c r="H256" t="inlineStr">
        <is>
          <t>HEAT</t>
        </is>
      </c>
      <c r="I256" t="inlineStr">
        <is>
          <t>heat-battery-train</t>
        </is>
      </c>
      <c r="J256" t="inlineStr">
        <is>
          <t>hb_cp_water_kJ_kgK</t>
        </is>
      </c>
    </row>
    <row r="257">
      <c r="A257" t="inlineStr">
        <is>
          <t>HEAT.heat-battery-train.hb_insul_q12_mm</t>
        </is>
      </c>
      <c r="B257" s="4" t="n">
        <v>90</v>
      </c>
      <c r="C257" t="inlineStr">
        <is>
          <t>mm microporous silica board on Q1/Q2 stores</t>
        </is>
      </c>
      <c r="D257" t="inlineStr">
        <is>
          <t>AQS-DUTY-008 sec. 5 issued store table (90 mm microporous, k 0.025)</t>
        </is>
      </c>
      <c r="H257" t="inlineStr">
        <is>
          <t>HEAT</t>
        </is>
      </c>
      <c r="I257" t="inlineStr">
        <is>
          <t>heat-battery-train</t>
        </is>
      </c>
      <c r="J257" t="inlineStr">
        <is>
          <t>hb_insul_q12_mm</t>
        </is>
      </c>
    </row>
    <row r="258">
      <c r="A258" t="inlineStr">
        <is>
          <t>HEAT.heat-battery-train.hb_insul_q3_mm</t>
        </is>
      </c>
      <c r="B258" s="4" t="n">
        <v>60</v>
      </c>
      <c r="C258" t="inlineStr">
        <is>
          <t>mm mineral wool on Q3 stores</t>
        </is>
      </c>
      <c r="D258" t="inlineStr">
        <is>
          <t>AQS-DUTY-008 sec. 5 issued store table (60 mm mineral wool)</t>
        </is>
      </c>
      <c r="H258" t="inlineStr">
        <is>
          <t>HEAT</t>
        </is>
      </c>
      <c r="I258" t="inlineStr">
        <is>
          <t>heat-battery-train</t>
        </is>
      </c>
      <c r="J258" t="inlineStr">
        <is>
          <t>hb_insul_q3_mm</t>
        </is>
      </c>
    </row>
    <row r="259">
      <c r="A259" t="inlineStr">
        <is>
          <t>HEAT.heat-battery-train.hb_insul_q4_mm</t>
        </is>
      </c>
      <c r="B259" s="4" t="n">
        <v>30</v>
      </c>
      <c r="C259" t="inlineStr">
        <is>
          <t>mm PIR on Q4 stores</t>
        </is>
      </c>
      <c r="D259" t="inlineStr">
        <is>
          <t>AQS-DUTY-008 sec. 5 issued store table (30 mm PIR)</t>
        </is>
      </c>
      <c r="H259" t="inlineStr">
        <is>
          <t>HEAT</t>
        </is>
      </c>
      <c r="I259" t="inlineStr">
        <is>
          <t>heat-battery-train</t>
        </is>
      </c>
      <c r="J259" t="inlineStr">
        <is>
          <t>hb_insul_q4_mm</t>
        </is>
      </c>
    </row>
    <row r="260">
      <c r="A260" t="inlineStr">
        <is>
          <t>HEAT.heat-battery-train.hb_k_micro_W_mK</t>
        </is>
      </c>
      <c r="B260" s="4" t="n">
        <v>0.025</v>
      </c>
      <c r="C260" t="inlineStr">
        <is>
          <t>W/m K microporous board</t>
        </is>
      </c>
      <c r="D260" t="inlineStr">
        <is>
          <t>AQS-DUTY-008 sec. 5 issued store table</t>
        </is>
      </c>
      <c r="H260" t="inlineStr">
        <is>
          <t>HEAT</t>
        </is>
      </c>
      <c r="I260" t="inlineStr">
        <is>
          <t>heat-battery-train</t>
        </is>
      </c>
      <c r="J260" t="inlineStr">
        <is>
          <t>hb_k_micro_W_mK</t>
        </is>
      </c>
    </row>
    <row r="261">
      <c r="A261" t="inlineStr">
        <is>
          <t>HEAT.heat-battery-train.hb_k_pir_W_mK</t>
        </is>
      </c>
      <c r="B261" s="4" t="n">
        <v>0.025</v>
      </c>
      <c r="C261" t="inlineStr">
        <is>
          <t>W/m K PIR foam</t>
        </is>
      </c>
      <c r="D261" t="inlineStr">
        <is>
          <t>AQS-DUTY-008 sec. 5 issued store table</t>
        </is>
      </c>
      <c r="H261" t="inlineStr">
        <is>
          <t>HEAT</t>
        </is>
      </c>
      <c r="I261" t="inlineStr">
        <is>
          <t>heat-battery-train</t>
        </is>
      </c>
      <c r="J261" t="inlineStr">
        <is>
          <t>hb_k_pir_W_mK</t>
        </is>
      </c>
    </row>
    <row r="262">
      <c r="A262" t="inlineStr">
        <is>
          <t>HEAT.heat-battery-train.hb_k_wool_W_mK</t>
        </is>
      </c>
      <c r="B262" s="4" t="n">
        <v>0.035</v>
      </c>
      <c r="C262" t="inlineStr">
        <is>
          <t>W/m K mineral wool at mean temperature</t>
        </is>
      </c>
      <c r="D262" t="inlineStr">
        <is>
          <t>ASTM_C547</t>
        </is>
      </c>
      <c r="H262" t="inlineStr">
        <is>
          <t>HEAT</t>
        </is>
      </c>
      <c r="I262" t="inlineStr">
        <is>
          <t>heat-battery-train</t>
        </is>
      </c>
      <c r="J262" t="inlineStr">
        <is>
          <t>hb_k_wool_W_mK</t>
        </is>
      </c>
    </row>
    <row r="263">
      <c r="A263" t="inlineStr">
        <is>
          <t>HEAT.heat-battery-train.hb_oil_hold_kWh_th</t>
        </is>
      </c>
      <c r="B263" s="4" t="n">
        <v>10</v>
      </c>
      <c r="C263" t="inlineStr">
        <is>
          <t>kWh_th sensible hold per oil store</t>
        </is>
      </c>
      <c r="E263" t="inlineStr">
        <is>
          <t>A-M-286</t>
        </is>
      </c>
      <c r="H263" t="inlineStr">
        <is>
          <t>HEAT</t>
        </is>
      </c>
      <c r="I263" t="inlineStr">
        <is>
          <t>heat-battery-train</t>
        </is>
      </c>
      <c r="J263" t="inlineStr">
        <is>
          <t>hb_oil_hold_kWh_th</t>
        </is>
      </c>
    </row>
    <row r="264">
      <c r="A264" t="inlineStr">
        <is>
          <t>HEAT.heat-battery-train.hb_oil_swing_K</t>
        </is>
      </c>
      <c r="B264" s="4" t="n">
        <v>80</v>
      </c>
      <c r="C264" t="inlineStr">
        <is>
          <t>K swing</t>
        </is>
      </c>
      <c r="E264" t="inlineStr">
        <is>
          <t>A-M-286</t>
        </is>
      </c>
      <c r="H264" t="inlineStr">
        <is>
          <t>HEAT</t>
        </is>
      </c>
      <c r="I264" t="inlineStr">
        <is>
          <t>heat-battery-train</t>
        </is>
      </c>
      <c r="J264" t="inlineStr">
        <is>
          <t>hb_oil_swing_K</t>
        </is>
      </c>
    </row>
    <row r="265">
      <c r="A265" t="inlineStr">
        <is>
          <t>HEAT.heat-battery-train.hb_q3_hold_kWh_th</t>
        </is>
      </c>
      <c r="B265" s="4" t="n">
        <v>14</v>
      </c>
      <c r="C265" t="inlineStr">
        <is>
          <t>kWh_th</t>
        </is>
      </c>
      <c r="E265" t="inlineStr">
        <is>
          <t>A-M-300</t>
        </is>
      </c>
      <c r="F265" t="b">
        <v>1</v>
      </c>
      <c r="G265" t="inlineStr">
        <is>
          <t>Q3 hold from the single-ladder sizing case of AQS-DUTY-008 sec. 6.2 at the next ladder revision</t>
        </is>
      </c>
      <c r="H265" t="inlineStr">
        <is>
          <t>HEAT</t>
        </is>
      </c>
      <c r="I265" t="inlineStr">
        <is>
          <t>heat-battery-train</t>
        </is>
      </c>
      <c r="J265" t="inlineStr">
        <is>
          <t>hb_q3_hold_kWh_th</t>
        </is>
      </c>
    </row>
    <row r="266">
      <c r="A266" t="inlineStr">
        <is>
          <t>HEAT.heat-battery-train.hb_rho_oil_kg_m3</t>
        </is>
      </c>
      <c r="B266" s="4" t="n">
        <v>860</v>
      </c>
      <c r="C266" t="inlineStr">
        <is>
          <t>kg/m3 mineral thermal oil at 180-250 C</t>
        </is>
      </c>
      <c r="D266" t="inlineStr">
        <is>
          <t>PERRY9</t>
        </is>
      </c>
      <c r="H266" t="inlineStr">
        <is>
          <t>HEAT</t>
        </is>
      </c>
      <c r="I266" t="inlineStr">
        <is>
          <t>heat-battery-train</t>
        </is>
      </c>
      <c r="J266" t="inlineStr">
        <is>
          <t>hb_rho_oil_kg_m3</t>
        </is>
      </c>
    </row>
    <row r="267">
      <c r="A267" t="inlineStr">
        <is>
          <t>HEAT.heat-battery-train.hb_rho_water_kg_m3</t>
        </is>
      </c>
      <c r="B267" s="4" t="n">
        <v>978</v>
      </c>
      <c r="C267" t="inlineStr">
        <is>
          <t>kg/m3 water at the store temperature</t>
        </is>
      </c>
      <c r="D267" t="inlineStr">
        <is>
          <t>IAPWS_IF97</t>
        </is>
      </c>
      <c r="H267" t="inlineStr">
        <is>
          <t>HEAT</t>
        </is>
      </c>
      <c r="I267" t="inlineStr">
        <is>
          <t>heat-battery-train</t>
        </is>
      </c>
      <c r="J267" t="inlineStr">
        <is>
          <t>hb_rho_water_kg_m3</t>
        </is>
      </c>
    </row>
    <row r="268">
      <c r="A268" t="inlineStr">
        <is>
          <t>HEAT.heat-battery-train.hb_wall_min_mm</t>
        </is>
      </c>
      <c r="B268" s="4" t="n">
        <v>3</v>
      </c>
      <c r="C268" t="inlineStr">
        <is>
          <t>mm minimum wall</t>
        </is>
      </c>
      <c r="D268" t="inlineStr">
        <is>
          <t>ASME_VIII_1_UG27</t>
        </is>
      </c>
      <c r="H268" t="inlineStr">
        <is>
          <t>HEAT</t>
        </is>
      </c>
      <c r="I268" t="inlineStr">
        <is>
          <t>heat-battery-train</t>
        </is>
      </c>
      <c r="J268" t="inlineStr">
        <is>
          <t>hb_wall_min_mm</t>
        </is>
      </c>
    </row>
    <row r="269">
      <c r="A269" t="inlineStr">
        <is>
          <t>HEAT.heat-battery-train.hb_water_hold_kWh_th</t>
        </is>
      </c>
      <c r="B269" s="4" t="n">
        <v>20</v>
      </c>
      <c r="C269" t="inlineStr">
        <is>
          <t>kWh_th sensible hold per water store</t>
        </is>
      </c>
      <c r="E269" t="inlineStr">
        <is>
          <t>A-M-286</t>
        </is>
      </c>
      <c r="H269" t="inlineStr">
        <is>
          <t>HEAT</t>
        </is>
      </c>
      <c r="I269" t="inlineStr">
        <is>
          <t>heat-battery-train</t>
        </is>
      </c>
      <c r="J269" t="inlineStr">
        <is>
          <t>hb_water_hold_kWh_th</t>
        </is>
      </c>
    </row>
    <row r="270">
      <c r="A270" t="inlineStr">
        <is>
          <t>HEAT.heat-battery-train.hb_water_swing_K</t>
        </is>
      </c>
      <c r="B270" s="4" t="n">
        <v>30</v>
      </c>
      <c r="C270" t="inlineStr">
        <is>
          <t>K swing</t>
        </is>
      </c>
      <c r="E270" t="inlineStr">
        <is>
          <t>A-M-286</t>
        </is>
      </c>
      <c r="H270" t="inlineStr">
        <is>
          <t>HEAT</t>
        </is>
      </c>
      <c r="I270" t="inlineStr">
        <is>
          <t>heat-battery-train</t>
        </is>
      </c>
      <c r="J270" t="inlineStr">
        <is>
          <t>hb_water_swing_K</t>
        </is>
      </c>
    </row>
    <row r="271">
      <c r="A271" t="inlineStr">
        <is>
          <t>MEOH.synthesis-train.MEOH_COND.U_kW_m2K</t>
        </is>
      </c>
      <c r="B271" s="4" t="n">
        <v>1.2</v>
      </c>
      <c r="C271" t="inlineStr">
        <is>
          <t>kW/m2 K water vapour condensing on water</t>
        </is>
      </c>
      <c r="D271" t="inlineStr">
        <is>
          <t>PERRY9</t>
        </is>
      </c>
      <c r="H271" t="inlineStr">
        <is>
          <t>MEOH</t>
        </is>
      </c>
      <c r="I271" t="inlineStr">
        <is>
          <t>synthesis-train</t>
        </is>
      </c>
      <c r="J271" t="inlineStr">
        <is>
          <t>MEOH_COND</t>
        </is>
      </c>
      <c r="K271" t="inlineStr">
        <is>
          <t>U_kW_m2K</t>
        </is>
      </c>
    </row>
    <row r="272">
      <c r="A272" t="inlineStr">
        <is>
          <t>MEOH.synthesis-train.MEOH_COND.cp_vap_kJ_kgK</t>
        </is>
      </c>
      <c r="B272" s="4" t="n">
        <v>1.9</v>
      </c>
      <c r="C272" t="inlineStr">
        <is>
          <t>kJ/kg K water vapour</t>
        </is>
      </c>
      <c r="D272" t="inlineStr">
        <is>
          <t>PERRY9</t>
        </is>
      </c>
      <c r="H272" t="inlineStr">
        <is>
          <t>MEOH</t>
        </is>
      </c>
      <c r="I272" t="inlineStr">
        <is>
          <t>synthesis-train</t>
        </is>
      </c>
      <c r="J272" t="inlineStr">
        <is>
          <t>MEOH_COND</t>
        </is>
      </c>
      <c r="K272" t="inlineStr">
        <is>
          <t>cp_vap_kJ_kgK</t>
        </is>
      </c>
    </row>
    <row r="273">
      <c r="A273" t="inlineStr">
        <is>
          <t>MEOH.synthesis-train.MEOH_COND.drum_HD</t>
        </is>
      </c>
      <c r="B273" s="4" t="n">
        <v>2</v>
      </c>
      <c r="C273" t="inlineStr">
        <is>
          <t>H/D knock-out pot</t>
        </is>
      </c>
      <c r="D273" t="inlineStr">
        <is>
          <t>PERRY9</t>
        </is>
      </c>
      <c r="H273" t="inlineStr">
        <is>
          <t>MEOH</t>
        </is>
      </c>
      <c r="I273" t="inlineStr">
        <is>
          <t>synthesis-train</t>
        </is>
      </c>
      <c r="J273" t="inlineStr">
        <is>
          <t>MEOH_COND</t>
        </is>
      </c>
      <c r="K273" t="inlineStr">
        <is>
          <t>drum_HD</t>
        </is>
      </c>
    </row>
    <row r="274">
      <c r="A274" t="inlineStr">
        <is>
          <t>MEOH.synthesis-train.MEOH_COND.latent_kJ_kg</t>
        </is>
      </c>
      <c r="B274" s="4" t="n">
        <v>2257</v>
      </c>
      <c r="C274" t="inlineStr">
        <is>
          <t>kJ/kg water latent at near-atmospheric dew</t>
        </is>
      </c>
      <c r="D274" t="inlineStr">
        <is>
          <t>IAPWS_IF97</t>
        </is>
      </c>
      <c r="H274" t="inlineStr">
        <is>
          <t>MEOH</t>
        </is>
      </c>
      <c r="I274" t="inlineStr">
        <is>
          <t>synthesis-train</t>
        </is>
      </c>
      <c r="J274" t="inlineStr">
        <is>
          <t>MEOH_COND</t>
        </is>
      </c>
      <c r="K274" t="inlineStr">
        <is>
          <t>latent_kJ_kg</t>
        </is>
      </c>
    </row>
    <row r="275">
      <c r="A275" t="inlineStr">
        <is>
          <t>MEOH.synthesis-train.MEOH_COND.subcool_K</t>
        </is>
      </c>
      <c r="B275" s="4" t="n">
        <v>20</v>
      </c>
      <c r="C275" t="inlineStr">
        <is>
          <t>K condensate subcool to 40 C</t>
        </is>
      </c>
      <c r="E275" t="inlineStr">
        <is>
          <t>A-M-295</t>
        </is>
      </c>
      <c r="H275" t="inlineStr">
        <is>
          <t>MEOH</t>
        </is>
      </c>
      <c r="I275" t="inlineStr">
        <is>
          <t>synthesis-train</t>
        </is>
      </c>
      <c r="J275" t="inlineStr">
        <is>
          <t>MEOH_COND</t>
        </is>
      </c>
      <c r="K275" t="inlineStr">
        <is>
          <t>subcool_K</t>
        </is>
      </c>
    </row>
    <row r="276">
      <c r="A276" t="inlineStr">
        <is>
          <t>MEOH.synthesis-train.MEOH_FC.cell_A_cm2</t>
        </is>
      </c>
      <c r="B276" s="4" t="n">
        <v>200</v>
      </c>
      <c r="C276" t="inlineStr">
        <is>
          <t>cm2 active area per cell</t>
        </is>
      </c>
      <c r="D276" t="inlineStr">
        <is>
          <t>IEC62282_3_100</t>
        </is>
      </c>
      <c r="H276" t="inlineStr">
        <is>
          <t>MEOH</t>
        </is>
      </c>
      <c r="I276" t="inlineStr">
        <is>
          <t>synthesis-train</t>
        </is>
      </c>
      <c r="J276" t="inlineStr">
        <is>
          <t>MEOH_FC</t>
        </is>
      </c>
      <c r="K276" t="inlineStr">
        <is>
          <t>cell_A_cm2</t>
        </is>
      </c>
    </row>
    <row r="277">
      <c r="A277" t="inlineStr">
        <is>
          <t>MEOH.synthesis-train.MEOH_FC.cell_V</t>
        </is>
      </c>
      <c r="B277" s="4" t="n">
        <v>0.6</v>
      </c>
      <c r="C277" t="inlineStr">
        <is>
          <t>V per cell at the design point</t>
        </is>
      </c>
      <c r="D277" t="inlineStr">
        <is>
          <t>IEC62282_3_100</t>
        </is>
      </c>
      <c r="E277" t="inlineStr">
        <is>
          <t>A-M-296</t>
        </is>
      </c>
      <c r="F277" t="b">
        <v>1</v>
      </c>
      <c r="G277" t="inlineStr">
        <is>
          <t>Stack polarisation set at the first article</t>
        </is>
      </c>
      <c r="H277" t="inlineStr">
        <is>
          <t>MEOH</t>
        </is>
      </c>
      <c r="I277" t="inlineStr">
        <is>
          <t>synthesis-train</t>
        </is>
      </c>
      <c r="J277" t="inlineStr">
        <is>
          <t>MEOH_FC</t>
        </is>
      </c>
      <c r="K277" t="inlineStr">
        <is>
          <t>cell_V</t>
        </is>
      </c>
    </row>
    <row r="278">
      <c r="A278" t="inlineStr">
        <is>
          <t>MEOH.synthesis-train.MEOH_FC.j_A_cm2</t>
        </is>
      </c>
      <c r="B278" s="4" t="n">
        <v>0.3</v>
      </c>
      <c r="C278" t="inlineStr">
        <is>
          <t>A/cm2 current density at the design point</t>
        </is>
      </c>
      <c r="D278" t="inlineStr">
        <is>
          <t>IEC62282_3_100</t>
        </is>
      </c>
      <c r="E278" t="inlineStr">
        <is>
          <t>A-M-296</t>
        </is>
      </c>
      <c r="F278" t="b">
        <v>1</v>
      </c>
      <c r="G278" t="inlineStr">
        <is>
          <t>Stack polarisation set at the first article</t>
        </is>
      </c>
      <c r="H278" t="inlineStr">
        <is>
          <t>MEOH</t>
        </is>
      </c>
      <c r="I278" t="inlineStr">
        <is>
          <t>synthesis-train</t>
        </is>
      </c>
      <c r="J278" t="inlineStr">
        <is>
          <t>MEOH_FC</t>
        </is>
      </c>
      <c r="K278" t="inlineStr">
        <is>
          <t>j_A_cm2</t>
        </is>
      </c>
    </row>
    <row r="279">
      <c r="A279" t="inlineStr">
        <is>
          <t>MEOH.synthesis-train.MEOH_FC.meoh_LHV_MJ_kg</t>
        </is>
      </c>
      <c r="B279" s="4" t="n">
        <v>19.9</v>
      </c>
      <c r="C279" t="inlineStr">
        <is>
          <t>MJ/kg methanol LHV</t>
        </is>
      </c>
      <c r="D279" t="inlineStr">
        <is>
          <t>PERRY9</t>
        </is>
      </c>
      <c r="H279" t="inlineStr">
        <is>
          <t>MEOH</t>
        </is>
      </c>
      <c r="I279" t="inlineStr">
        <is>
          <t>synthesis-train</t>
        </is>
      </c>
      <c r="J279" t="inlineStr">
        <is>
          <t>MEOH_FC</t>
        </is>
      </c>
      <c r="K279" t="inlineStr">
        <is>
          <t>meoh_LHV_MJ_kg</t>
        </is>
      </c>
    </row>
    <row r="280">
      <c r="A280" t="inlineStr">
        <is>
          <t>MEOH.synthesis-train.MEOH_TANK.hold_d</t>
        </is>
      </c>
      <c r="B280" s="4" t="n">
        <v>14</v>
      </c>
      <c r="C280" t="inlineStr">
        <is>
          <t>d hold time (A-M-225 basis: resupply interval or batch decoupling)</t>
        </is>
      </c>
      <c r="E280" t="inlineStr">
        <is>
          <t>A-M-225</t>
        </is>
      </c>
      <c r="H280" t="inlineStr">
        <is>
          <t>MEOH</t>
        </is>
      </c>
      <c r="I280" t="inlineStr">
        <is>
          <t>synthesis-train</t>
        </is>
      </c>
      <c r="J280" t="inlineStr">
        <is>
          <t>MEOH_TANK</t>
        </is>
      </c>
      <c r="K280" t="inlineStr">
        <is>
          <t>hold_d</t>
        </is>
      </c>
    </row>
    <row r="281">
      <c r="A281" t="inlineStr">
        <is>
          <t>MEOH.synthesis-train.MEOH_TANK.rho_kg_m3</t>
        </is>
      </c>
      <c r="B281" s="4" t="n">
        <v>792</v>
      </c>
      <c r="C281" t="inlineStr">
        <is>
          <t>kg/m3 stored liquid at 20 C</t>
        </is>
      </c>
      <c r="D281" t="inlineStr">
        <is>
          <t>PERRY9</t>
        </is>
      </c>
      <c r="H281" t="inlineStr">
        <is>
          <t>MEOH</t>
        </is>
      </c>
      <c r="I281" t="inlineStr">
        <is>
          <t>synthesis-train</t>
        </is>
      </c>
      <c r="J281" t="inlineStr">
        <is>
          <t>MEOH_TANK</t>
        </is>
      </c>
      <c r="K281" t="inlineStr">
        <is>
          <t>rho_kg_m3</t>
        </is>
      </c>
    </row>
    <row r="282">
      <c r="A282" t="inlineStr">
        <is>
          <t>MFG.tools-metal-forming-train.hall-services.MFG_SHOP.shift_h</t>
        </is>
      </c>
      <c r="B282" s="4" t="n">
        <v>8</v>
      </c>
      <c r="C282" t="inlineStr">
        <is>
          <t>h/d one shift</t>
        </is>
      </c>
      <c r="E282" t="inlineStr">
        <is>
          <t>A-M-177 (one 8 h shift)</t>
        </is>
      </c>
      <c r="H282" t="inlineStr">
        <is>
          <t>MFG</t>
        </is>
      </c>
      <c r="I282" t="inlineStr">
        <is>
          <t>tools-metal-forming-train</t>
        </is>
      </c>
      <c r="J282" t="inlineStr">
        <is>
          <t>hall-services</t>
        </is>
      </c>
      <c r="K282" t="inlineStr">
        <is>
          <t>MFG_SHOP</t>
        </is>
      </c>
      <c r="L282" t="inlineStr">
        <is>
          <t>shift_h</t>
        </is>
      </c>
    </row>
    <row r="283">
      <c r="A283" t="inlineStr">
        <is>
          <t>MFG.tools-metal-forming-train.hall-services.MFG_SHOP.shop_tools</t>
        </is>
      </c>
      <c r="B283" s="4" t="inlineStr">
        <is>
          <t>{"Band saw":{"kw":1.5,"util":0.1},"Bench grinder, drill press, hand tools":{"kw":2.0,"util":0.2},"CNC vertical mill":{"kw":7.5,"util":0.3},"Engine lathe":{"kw":5.5,"util":0.3},"Rotary-screw air compressor":{"kw":4.0,"util":0.5},"TIG/MIG welder":{"kw":6.0,"util":0.2}}</t>
        </is>
      </c>
      <c r="C283" t="inlineStr">
        <is>
          <t>kW nameplate and utilisation fraction per shop machine tool (study nameplates kept, A-M-177)</t>
        </is>
      </c>
      <c r="E283" t="inlineStr">
        <is>
          <t>A-M-177</t>
        </is>
      </c>
      <c r="H283" t="inlineStr">
        <is>
          <t>MFG</t>
        </is>
      </c>
      <c r="I283" t="inlineStr">
        <is>
          <t>tools-metal-forming-train</t>
        </is>
      </c>
      <c r="J283" t="inlineStr">
        <is>
          <t>hall-services</t>
        </is>
      </c>
      <c r="K283" t="inlineStr">
        <is>
          <t>MFG_SHOP</t>
        </is>
      </c>
      <c r="L283" t="inlineStr">
        <is>
          <t>shop_tools</t>
        </is>
      </c>
    </row>
    <row r="284">
      <c r="A284" t="inlineStr">
        <is>
          <t>MFG.tools-metal-forming-train.hall-services.fc_Fy_MPa</t>
        </is>
      </c>
      <c r="B284" s="4" t="n">
        <v>345</v>
      </c>
      <c r="C284" t="inlineStr">
        <is>
          <t>MPa ASTM A992 plate yield strength</t>
        </is>
      </c>
      <c r="D284" t="inlineStr">
        <is>
          <t>ASTM_A992</t>
        </is>
      </c>
      <c r="H284" t="inlineStr">
        <is>
          <t>MFG</t>
        </is>
      </c>
      <c r="I284" t="inlineStr">
        <is>
          <t>tools-metal-forming-train</t>
        </is>
      </c>
      <c r="J284" t="inlineStr">
        <is>
          <t>hall-services</t>
        </is>
      </c>
      <c r="K284" t="inlineStr">
        <is>
          <t>fc_Fy_MPa</t>
        </is>
      </c>
    </row>
    <row r="285">
      <c r="A285" t="inlineStr">
        <is>
          <t>MFG.tools-metal-forming-train.hall-services.fc_live_loads_kPa</t>
        </is>
      </c>
      <c r="B285" s="4" t="inlineStr">
        <is>
          <t>{"L-1":6.0,"L-2":0.0,"L0":6.0,"L1":4.79,"L2":4.79,"R1":0.0,"R2":0.0,"R3":0.0,"ROOF":0.96}</t>
        </is>
      </c>
      <c r="C285" t="inlineStr">
        <is>
          <t>kPa uniform live load per level (light manufacturing 125 psf, assembly 100 psf, water storeys F, roof 20 psf)</t>
        </is>
      </c>
      <c r="D285" t="inlineStr">
        <is>
          <t>ASCE7_22</t>
        </is>
      </c>
      <c r="H285" t="inlineStr">
        <is>
          <t>MFG</t>
        </is>
      </c>
      <c r="I285" t="inlineStr">
        <is>
          <t>tools-metal-forming-train</t>
        </is>
      </c>
      <c r="J285" t="inlineStr">
        <is>
          <t>hall-services</t>
        </is>
      </c>
      <c r="K285" t="inlineStr">
        <is>
          <t>fc_live_loads_kPa</t>
        </is>
      </c>
    </row>
    <row r="286">
      <c r="A286" t="inlineStr">
        <is>
          <t>MFG.tools-metal-forming-train.metal-forming.GAS_ATOMIZER.ar_T_K</t>
        </is>
      </c>
      <c r="B286" s="4" t="n">
        <v>300</v>
      </c>
      <c r="C286" t="inlineStr">
        <is>
          <t>K atomising argon temperature</t>
        </is>
      </c>
      <c r="E286" t="inlineStr">
        <is>
          <t>A-M-177 (atomiser study)</t>
        </is>
      </c>
      <c r="H286" t="inlineStr">
        <is>
          <t>MFG</t>
        </is>
      </c>
      <c r="I286" t="inlineStr">
        <is>
          <t>tools-metal-forming-train</t>
        </is>
      </c>
      <c r="J286" t="inlineStr">
        <is>
          <t>metal-forming</t>
        </is>
      </c>
      <c r="K286" t="inlineStr">
        <is>
          <t>GAS_ATOMIZER</t>
        </is>
      </c>
      <c r="L286" t="inlineStr">
        <is>
          <t>ar_T_K</t>
        </is>
      </c>
    </row>
    <row r="287">
      <c r="A287" t="inlineStr">
        <is>
          <t>MFG.tools-metal-forming-train.metal-forming.GAS_ATOMIZER.tundish_h</t>
        </is>
      </c>
      <c r="B287" s="4" t="n">
        <v>1</v>
      </c>
      <c r="C287" t="inlineStr">
        <is>
          <t>h tundish heat per batch</t>
        </is>
      </c>
      <c r="E287" t="inlineStr">
        <is>
          <t>A-M-177</t>
        </is>
      </c>
      <c r="H287" t="inlineStr">
        <is>
          <t>MFG</t>
        </is>
      </c>
      <c r="I287" t="inlineStr">
        <is>
          <t>tools-metal-forming-train</t>
        </is>
      </c>
      <c r="J287" t="inlineStr">
        <is>
          <t>metal-forming</t>
        </is>
      </c>
      <c r="K287" t="inlineStr">
        <is>
          <t>GAS_ATOMIZER</t>
        </is>
      </c>
      <c r="L287" t="inlineStr">
        <is>
          <t>tundish_h</t>
        </is>
      </c>
    </row>
    <row r="288">
      <c r="A288" t="inlineStr">
        <is>
          <t>MFG.tools-metal-forming-train.metal-forming.MET_MELT.charge_T_from_C</t>
        </is>
      </c>
      <c r="B288" s="4" t="n">
        <v>25</v>
      </c>
      <c r="C288" t="inlineStr">
        <is>
          <t>C cold-charge reference temperature</t>
        </is>
      </c>
      <c r="E288" t="inlineStr">
        <is>
          <t>A-M-177 (melt study, cold charge)</t>
        </is>
      </c>
      <c r="H288" t="inlineStr">
        <is>
          <t>MFG</t>
        </is>
      </c>
      <c r="I288" t="inlineStr">
        <is>
          <t>tools-metal-forming-train</t>
        </is>
      </c>
      <c r="J288" t="inlineStr">
        <is>
          <t>metal-forming</t>
        </is>
      </c>
      <c r="K288" t="inlineStr">
        <is>
          <t>MET_MELT</t>
        </is>
      </c>
      <c r="L288" t="inlineStr">
        <is>
          <t>charge_T_from_C</t>
        </is>
      </c>
    </row>
    <row r="289">
      <c r="A289" t="inlineStr">
        <is>
          <t>MFG.tools-metal-forming-train.metal-forming.MET_MELT.cu_T_melt_C</t>
        </is>
      </c>
      <c r="B289" s="4" t="n">
        <v>1084.62</v>
      </c>
      <c r="C289" t="inlineStr">
        <is>
          <t>C Cu melting point</t>
        </is>
      </c>
      <c r="D289" t="inlineStr">
        <is>
          <t>CRC_CU</t>
        </is>
      </c>
      <c r="H289" t="inlineStr">
        <is>
          <t>MFG</t>
        </is>
      </c>
      <c r="I289" t="inlineStr">
        <is>
          <t>tools-metal-forming-train</t>
        </is>
      </c>
      <c r="J289" t="inlineStr">
        <is>
          <t>metal-forming</t>
        </is>
      </c>
      <c r="K289" t="inlineStr">
        <is>
          <t>MET_MELT</t>
        </is>
      </c>
      <c r="L289" t="inlineStr">
        <is>
          <t>cu_T_melt_C</t>
        </is>
      </c>
    </row>
    <row r="290">
      <c r="A290" t="inlineStr">
        <is>
          <t>MFG.tools-metal-forming-train.metal-forming.MET_MELT.hold_h</t>
        </is>
      </c>
      <c r="B290" s="4" t="n">
        <v>0.5</v>
      </c>
      <c r="C290" t="inlineStr">
        <is>
          <t>h hold per heat</t>
        </is>
      </c>
      <c r="E290" t="inlineStr">
        <is>
          <t>A-M-177</t>
        </is>
      </c>
      <c r="H290" t="inlineStr">
        <is>
          <t>MFG</t>
        </is>
      </c>
      <c r="I290" t="inlineStr">
        <is>
          <t>tools-metal-forming-train</t>
        </is>
      </c>
      <c r="J290" t="inlineStr">
        <is>
          <t>metal-forming</t>
        </is>
      </c>
      <c r="K290" t="inlineStr">
        <is>
          <t>MET_MELT</t>
        </is>
      </c>
      <c r="L290" t="inlineStr">
        <is>
          <t>hold_h</t>
        </is>
      </c>
    </row>
    <row r="291">
      <c r="A291" t="inlineStr">
        <is>
          <t>MFG.tools-metal-forming-train.metal-forming.WIRE_DRAW.ws_cu_density_g_cm3</t>
        </is>
      </c>
      <c r="B291" s="4" t="n">
        <v>8.890000000000001</v>
      </c>
      <c r="C291" t="inlineStr">
        <is>
          <t>g/cm3 copper density</t>
        </is>
      </c>
      <c r="E291" t="inlineStr">
        <is>
          <t>A-M-217</t>
        </is>
      </c>
      <c r="H291" t="inlineStr">
        <is>
          <t>MFG</t>
        </is>
      </c>
      <c r="I291" t="inlineStr">
        <is>
          <t>tools-metal-forming-train</t>
        </is>
      </c>
      <c r="J291" t="inlineStr">
        <is>
          <t>metal-forming</t>
        </is>
      </c>
      <c r="K291" t="inlineStr">
        <is>
          <t>WIRE_DRAW</t>
        </is>
      </c>
      <c r="L291" t="inlineStr">
        <is>
          <t>ws_cu_density_g_cm3</t>
        </is>
      </c>
    </row>
    <row r="292">
      <c r="A292" t="inlineStr">
        <is>
          <t>MFG.tools-metal-forming-train.metal-forming.WIRE_DRAW.ws_cu_rho_ohm_mm2_m</t>
        </is>
      </c>
      <c r="B292" s="4" t="n">
        <v>0.017241</v>
      </c>
      <c r="C292" t="inlineStr">
        <is>
          <t>ohm mm2/m soft-annealed copper (100 % IACS)</t>
        </is>
      </c>
      <c r="D292" t="inlineStr">
        <is>
          <t>ASTM_B3_2013</t>
        </is>
      </c>
      <c r="H292" t="inlineStr">
        <is>
          <t>MFG</t>
        </is>
      </c>
      <c r="I292" t="inlineStr">
        <is>
          <t>tools-metal-forming-train</t>
        </is>
      </c>
      <c r="J292" t="inlineStr">
        <is>
          <t>metal-forming</t>
        </is>
      </c>
      <c r="K292" t="inlineStr">
        <is>
          <t>WIRE_DRAW</t>
        </is>
      </c>
      <c r="L292" t="inlineStr">
        <is>
          <t>ws_cu_rho_ohm_mm2_m</t>
        </is>
      </c>
    </row>
    <row r="293">
      <c r="A293" t="inlineStr">
        <is>
          <t>MFG.tools-metal-forming-train.metal-forming.WIRE_DRAW.ws_pass_reduction</t>
        </is>
      </c>
      <c r="B293" s="4" t="n">
        <v>0.2</v>
      </c>
      <c r="C293" t="inlineStr">
        <is>
          <t>- conductor area reduction per drawing pass</t>
        </is>
      </c>
      <c r="E293" t="inlineStr">
        <is>
          <t>A-M-217</t>
        </is>
      </c>
      <c r="H293" t="inlineStr">
        <is>
          <t>MFG</t>
        </is>
      </c>
      <c r="I293" t="inlineStr">
        <is>
          <t>tools-metal-forming-train</t>
        </is>
      </c>
      <c r="J293" t="inlineStr">
        <is>
          <t>metal-forming</t>
        </is>
      </c>
      <c r="K293" t="inlineStr">
        <is>
          <t>WIRE_DRAW</t>
        </is>
      </c>
      <c r="L293" t="inlineStr">
        <is>
          <t>ws_pass_reduction</t>
        </is>
      </c>
    </row>
    <row r="294">
      <c r="A294" t="inlineStr">
        <is>
          <t>MFG.tools-metal-forming-train.metal-forming.WIRE_DRAW.ws_rod_D_mm</t>
        </is>
      </c>
      <c r="B294" s="4" t="n">
        <v>8</v>
      </c>
      <c r="C294" t="inlineStr">
        <is>
          <t>mm redraw-rod diameter</t>
        </is>
      </c>
      <c r="D294" t="inlineStr">
        <is>
          <t>ASTM_B49_2020</t>
        </is>
      </c>
      <c r="H294" t="inlineStr">
        <is>
          <t>MFG</t>
        </is>
      </c>
      <c r="I294" t="inlineStr">
        <is>
          <t>tools-metal-forming-train</t>
        </is>
      </c>
      <c r="J294" t="inlineStr">
        <is>
          <t>metal-forming</t>
        </is>
      </c>
      <c r="K294" t="inlineStr">
        <is>
          <t>WIRE_DRAW</t>
        </is>
      </c>
      <c r="L294" t="inlineStr">
        <is>
          <t>ws_rod_D_mm</t>
        </is>
      </c>
    </row>
    <row r="295">
      <c r="A295" t="inlineStr">
        <is>
          <t>MFG.tools-metal-forming-train.mfa_bar_J_A_mm2</t>
        </is>
      </c>
      <c r="B295" s="4" t="n">
        <v>5</v>
      </c>
      <c r="C295" t="inlineStr">
        <is>
          <t>A/mm2 die-cast aluminium rotor bar current density</t>
        </is>
      </c>
      <c r="E295" t="inlineStr">
        <is>
          <t>A-M-218 (X-INV-02B)</t>
        </is>
      </c>
      <c r="H295" t="inlineStr">
        <is>
          <t>MFG</t>
        </is>
      </c>
      <c r="I295" t="inlineStr">
        <is>
          <t>tools-metal-forming-train</t>
        </is>
      </c>
      <c r="J295" t="inlineStr">
        <is>
          <t>mfa_bar_J_A_mm2</t>
        </is>
      </c>
    </row>
    <row r="296">
      <c r="A296" t="inlineStr">
        <is>
          <t>MFG.tools-metal-forming-train.mfa_bar_current_factor</t>
        </is>
      </c>
      <c r="B296" s="4" t="n">
        <v>0.95</v>
      </c>
      <c r="C296" t="inlineStr">
        <is>
          <t>- rotor bar current as a fraction of the phase current expression</t>
        </is>
      </c>
      <c r="E296" t="inlineStr">
        <is>
          <t>A-M-218 (X-INV-02B)</t>
        </is>
      </c>
      <c r="H296" t="inlineStr">
        <is>
          <t>MFG</t>
        </is>
      </c>
      <c r="I296" t="inlineStr">
        <is>
          <t>tools-metal-forming-train</t>
        </is>
      </c>
      <c r="J296" t="inlineStr">
        <is>
          <t>mfa_bar_current_factor</t>
        </is>
      </c>
    </row>
    <row r="297">
      <c r="A297" t="inlineStr">
        <is>
          <t>MFG.tools-metal-forming-train.mfa_enamel_margin</t>
        </is>
      </c>
      <c r="B297" s="4" t="n">
        <v>1.15</v>
      </c>
      <c r="C297" t="inlineStr">
        <is>
          <t>- enamel 15 % over bare conductor area in the slot</t>
        </is>
      </c>
      <c r="E297" t="inlineStr">
        <is>
          <t>A-M-218 (X-INV-02B)</t>
        </is>
      </c>
      <c r="H297" t="inlineStr">
        <is>
          <t>MFG</t>
        </is>
      </c>
      <c r="I297" t="inlineStr">
        <is>
          <t>tools-metal-forming-train</t>
        </is>
      </c>
      <c r="J297" t="inlineStr">
        <is>
          <t>mfa_enamel_margin</t>
        </is>
      </c>
    </row>
    <row r="298">
      <c r="A298" t="inlineStr">
        <is>
          <t>MFG.tools-metal-forming-train.mfa_line_hz</t>
        </is>
      </c>
      <c r="B298" s="4" t="n">
        <v>60</v>
      </c>
      <c r="C298" t="inlineStr">
        <is>
          <t>Hz line frequency (IEC 60034-30-1 60 Hz IE3 basis, AQS-INV-005)</t>
        </is>
      </c>
      <c r="E298" t="inlineStr">
        <is>
          <t>A-M-218 (X-INV-02B)</t>
        </is>
      </c>
      <c r="H298" t="inlineStr">
        <is>
          <t>MFG</t>
        </is>
      </c>
      <c r="I298" t="inlineStr">
        <is>
          <t>tools-metal-forming-train</t>
        </is>
      </c>
      <c r="J298" t="inlineStr">
        <is>
          <t>mfa_line_hz</t>
        </is>
      </c>
    </row>
    <row r="299">
      <c r="A299" t="inlineStr">
        <is>
          <t>MFG.tools-metal-forming-train.mfa_od_tol</t>
        </is>
      </c>
      <c r="B299" s="4" t="n">
        <v>1.02</v>
      </c>
      <c r="C299" t="inlineStr">
        <is>
          <t>- OD check tolerance (2 % over the sheet OD flags a longer core)</t>
        </is>
      </c>
      <c r="E299" t="inlineStr">
        <is>
          <t>A-M-218 (X-INV-02B)</t>
        </is>
      </c>
      <c r="H299" t="inlineStr">
        <is>
          <t>MFG</t>
        </is>
      </c>
      <c r="I299" t="inlineStr">
        <is>
          <t>tools-metal-forming-train</t>
        </is>
      </c>
      <c r="J299" t="inlineStr">
        <is>
          <t>mfa_od_tol</t>
        </is>
      </c>
    </row>
    <row r="300">
      <c r="A300" t="inlineStr">
        <is>
          <t>MFG.tools-metal-forming-train.mfa_pf_default</t>
        </is>
      </c>
      <c r="B300" s="4" t="n">
        <v>0.85</v>
      </c>
      <c r="C300" t="inlineStr">
        <is>
          <t>- power-factor fallback when the family sheet is blank</t>
        </is>
      </c>
      <c r="E300" t="inlineStr">
        <is>
          <t>A-M-218 (X-INV-02B)</t>
        </is>
      </c>
      <c r="H300" t="inlineStr">
        <is>
          <t>MFG</t>
        </is>
      </c>
      <c r="I300" t="inlineStr">
        <is>
          <t>tools-metal-forming-train</t>
        </is>
      </c>
      <c r="J300" t="inlineStr">
        <is>
          <t>mfa_pf_default</t>
        </is>
      </c>
    </row>
    <row r="301">
      <c r="A301" t="inlineStr">
        <is>
          <t>MFG.tools-metal-forming-train.mfa_rated_speed_frac</t>
        </is>
      </c>
      <c r="B301" s="4" t="n">
        <v>0.97</v>
      </c>
      <c r="C301" t="inlineStr">
        <is>
          <t>- rated speed as a fraction of synchronous (about 3 % slip)</t>
        </is>
      </c>
      <c r="E301" t="inlineStr">
        <is>
          <t>A-M-218 (X-INV-02B)</t>
        </is>
      </c>
      <c r="H301" t="inlineStr">
        <is>
          <t>MFG</t>
        </is>
      </c>
      <c r="I301" t="inlineStr">
        <is>
          <t>tools-metal-forming-train</t>
        </is>
      </c>
      <c r="J301" t="inlineStr">
        <is>
          <t>mfa_rated_speed_frac</t>
        </is>
      </c>
    </row>
    <row r="302">
      <c r="A302" t="inlineStr">
        <is>
          <t>MFG.tools-metal-forming-train.mfa_slot_fill</t>
        </is>
      </c>
      <c r="B302" s="4" t="n">
        <v>0.4</v>
      </c>
      <c r="C302" t="inlineStr">
        <is>
          <t>- stator slot fill factor</t>
        </is>
      </c>
      <c r="E302" t="inlineStr">
        <is>
          <t>A-M-218 (X-INV-02B)</t>
        </is>
      </c>
      <c r="H302" t="inlineStr">
        <is>
          <t>MFG</t>
        </is>
      </c>
      <c r="I302" t="inlineStr">
        <is>
          <t>tools-metal-forming-train</t>
        </is>
      </c>
      <c r="J302" t="inlineStr">
        <is>
          <t>mfa_slot_fill</t>
        </is>
      </c>
    </row>
    <row r="303">
      <c r="A303" t="inlineStr">
        <is>
          <t>MFG.tools-metal-forming-train.mfa_stacking_factor</t>
        </is>
      </c>
      <c r="B303" s="4" t="n">
        <v>0.97</v>
      </c>
      <c r="C303" t="inlineStr">
        <is>
          <t>- lamination stacking factor (M400-50A)</t>
        </is>
      </c>
      <c r="E303" t="inlineStr">
        <is>
          <t>A-M-218 (X-INV-02B)</t>
        </is>
      </c>
      <c r="H303" t="inlineStr">
        <is>
          <t>MFG</t>
        </is>
      </c>
      <c r="I303" t="inlineStr">
        <is>
          <t>tools-metal-forming-train</t>
        </is>
      </c>
      <c r="J303" t="inlineStr">
        <is>
          <t>mfa_stacking_factor</t>
        </is>
      </c>
    </row>
    <row r="304">
      <c r="A304" t="inlineStr">
        <is>
          <t>MFG.tools-metal-forming-train.mfa_tooth_T</t>
        </is>
      </c>
      <c r="B304" s="4" t="n">
        <v>1.6</v>
      </c>
      <c r="C304" t="inlineStr">
        <is>
          <t>T stator tooth flux density</t>
        </is>
      </c>
      <c r="E304" t="inlineStr">
        <is>
          <t>A-M-218 (X-INV-02B)</t>
        </is>
      </c>
      <c r="H304" t="inlineStr">
        <is>
          <t>MFG</t>
        </is>
      </c>
      <c r="I304" t="inlineStr">
        <is>
          <t>tools-metal-forming-train</t>
        </is>
      </c>
      <c r="J304" t="inlineStr">
        <is>
          <t>mfa_tooth_T</t>
        </is>
      </c>
    </row>
    <row r="305">
      <c r="A305" t="inlineStr">
        <is>
          <t>MFG.tools-metal-forming-train.mfa_yoke_T</t>
        </is>
      </c>
      <c r="B305" s="4" t="n">
        <v>1.5</v>
      </c>
      <c r="C305" t="inlineStr">
        <is>
          <t>T stator yoke flux density</t>
        </is>
      </c>
      <c r="E305" t="inlineStr">
        <is>
          <t>A-M-218 (X-INV-02B)</t>
        </is>
      </c>
      <c r="H305" t="inlineStr">
        <is>
          <t>MFG</t>
        </is>
      </c>
      <c r="I305" t="inlineStr">
        <is>
          <t>tools-metal-forming-train</t>
        </is>
      </c>
      <c r="J305" t="inlineStr">
        <is>
          <t>mfa_yoke_T</t>
        </is>
      </c>
    </row>
    <row r="306">
      <c r="A306" t="inlineStr">
        <is>
          <t>NUT.dosing-train.NUTRIENT_DOSE.hold_d</t>
        </is>
      </c>
      <c r="B306" s="4" t="n">
        <v>1</v>
      </c>
      <c r="C306" t="inlineStr">
        <is>
          <t>d hold time (A-M-225 basis: resupply interval or batch decoupling)</t>
        </is>
      </c>
      <c r="E306" t="inlineStr">
        <is>
          <t>A-M-225</t>
        </is>
      </c>
      <c r="H306" t="inlineStr">
        <is>
          <t>NUT</t>
        </is>
      </c>
      <c r="I306" t="inlineStr">
        <is>
          <t>dosing-train</t>
        </is>
      </c>
      <c r="J306" t="inlineStr">
        <is>
          <t>NUTRIENT_DOSE</t>
        </is>
      </c>
      <c r="K306" t="inlineStr">
        <is>
          <t>hold_d</t>
        </is>
      </c>
    </row>
    <row r="307">
      <c r="A307" t="inlineStr">
        <is>
          <t>NUT.dosing-train.NUTRIENT_DOSE.rho_kg_m3</t>
        </is>
      </c>
      <c r="B307" s="4" t="n">
        <v>1050</v>
      </c>
      <c r="C307" t="inlineStr">
        <is>
          <t>kg/m3 stored liquid at 20 C</t>
        </is>
      </c>
      <c r="D307" t="inlineStr">
        <is>
          <t>PERRY9</t>
        </is>
      </c>
      <c r="H307" t="inlineStr">
        <is>
          <t>NUT</t>
        </is>
      </c>
      <c r="I307" t="inlineStr">
        <is>
          <t>dosing-train</t>
        </is>
      </c>
      <c r="J307" t="inlineStr">
        <is>
          <t>NUTRIENT_DOSE</t>
        </is>
      </c>
      <c r="K307" t="inlineStr">
        <is>
          <t>rho_kg_m3</t>
        </is>
      </c>
    </row>
    <row r="308">
      <c r="A308" t="inlineStr">
        <is>
          <t>NUT.nutrient-train.dose_head_m</t>
        </is>
      </c>
      <c r="B308" s="4" t="n">
        <v>15</v>
      </c>
      <c r="C308" t="inlineStr">
        <is>
          <t>m</t>
        </is>
      </c>
      <c r="D308" t="inlineStr">
        <is>
          <t>dose-header head to the grow beds (AQS-EQP-NUT-001; A-M-283) (A-M-286)</t>
        </is>
      </c>
      <c r="H308" t="inlineStr">
        <is>
          <t>NUT</t>
        </is>
      </c>
      <c r="I308" t="inlineStr">
        <is>
          <t>nutrient-train</t>
        </is>
      </c>
      <c r="J308" t="inlineStr">
        <is>
          <t>dose_head_m</t>
        </is>
      </c>
    </row>
    <row r="309">
      <c r="A309" t="inlineStr">
        <is>
          <t>NUT.nutrient-train.pump_eta</t>
        </is>
      </c>
      <c r="B309" s="4" t="n">
        <v>0.35</v>
      </c>
      <c r="C309" t="inlineStr">
        <is>
          <t>fraction</t>
        </is>
      </c>
      <c r="D309" t="inlineStr">
        <is>
          <t>small metering-diaphragm pump class (A-M-283) (A-M-286)</t>
        </is>
      </c>
      <c r="H309" t="inlineStr">
        <is>
          <t>NUT</t>
        </is>
      </c>
      <c r="I309" t="inlineStr">
        <is>
          <t>nutrient-train</t>
        </is>
      </c>
      <c r="J309" t="inlineStr">
        <is>
          <t>pump_eta</t>
        </is>
      </c>
    </row>
    <row r="310">
      <c r="A310" t="inlineStr">
        <is>
          <t>OIL.afterburner-train.flue_fan_dP_Pa</t>
        </is>
      </c>
      <c r="B310" s="4" t="n">
        <v>350</v>
      </c>
      <c r="C310" t="inlineStr">
        <is>
          <t>Pa</t>
        </is>
      </c>
      <c r="D310" t="inlineStr">
        <is>
          <t>duct + stack draft loss class of a 100 mm bore flue run (A-M-282) (A-M-286)</t>
        </is>
      </c>
      <c r="H310" t="inlineStr">
        <is>
          <t>OIL</t>
        </is>
      </c>
      <c r="I310" t="inlineStr">
        <is>
          <t>afterburner-train</t>
        </is>
      </c>
      <c r="J310" t="inlineStr">
        <is>
          <t>flue_fan_dP_Pa</t>
        </is>
      </c>
    </row>
    <row r="311">
      <c r="A311" t="inlineStr">
        <is>
          <t>OIL.afterburner-train.flue_fan_eta</t>
        </is>
      </c>
      <c r="B311" s="4" t="n">
        <v>0.35</v>
      </c>
      <c r="C311" t="inlineStr">
        <is>
          <t>fraction</t>
        </is>
      </c>
      <c r="D311" t="inlineStr">
        <is>
          <t>small high-temperature centrifugal fan (A-M-282) (A-M-286)</t>
        </is>
      </c>
      <c r="H311" t="inlineStr">
        <is>
          <t>OIL</t>
        </is>
      </c>
      <c r="I311" t="inlineStr">
        <is>
          <t>afterburner-train</t>
        </is>
      </c>
      <c r="J311" t="inlineStr">
        <is>
          <t>flue_fan_eta</t>
        </is>
      </c>
    </row>
    <row r="312">
      <c r="A312" t="inlineStr">
        <is>
          <t>OIL.pyro-fractionation-train.cuts-and-headers.PROD_C11_C18.hold_d</t>
        </is>
      </c>
      <c r="B312" s="4" t="n">
        <v>14</v>
      </c>
      <c r="C312" t="inlineStr">
        <is>
          <t>d hold time (A-M-225 basis: resupply interval or batch decoupling)</t>
        </is>
      </c>
      <c r="E312" t="inlineStr">
        <is>
          <t>A-M-225</t>
        </is>
      </c>
      <c r="H312" t="inlineStr">
        <is>
          <t>OIL</t>
        </is>
      </c>
      <c r="I312" t="inlineStr">
        <is>
          <t>pyro-fractionation-train</t>
        </is>
      </c>
      <c r="J312" t="inlineStr">
        <is>
          <t>cuts-and-headers</t>
        </is>
      </c>
      <c r="K312" t="inlineStr">
        <is>
          <t>PROD_C11_C18</t>
        </is>
      </c>
      <c r="L312" t="inlineStr">
        <is>
          <t>hold_d</t>
        </is>
      </c>
    </row>
    <row r="313">
      <c r="A313" t="inlineStr">
        <is>
          <t>OIL.pyro-fractionation-train.cuts-and-headers.PROD_C11_C18.rho_kg_m3</t>
        </is>
      </c>
      <c r="B313" s="4" t="n">
        <v>770</v>
      </c>
      <c r="C313" t="inlineStr">
        <is>
          <t>kg/m3 stored liquid at 20 C</t>
        </is>
      </c>
      <c r="D313" t="inlineStr">
        <is>
          <t>PERRY9</t>
        </is>
      </c>
      <c r="H313" t="inlineStr">
        <is>
          <t>OIL</t>
        </is>
      </c>
      <c r="I313" t="inlineStr">
        <is>
          <t>pyro-fractionation-train</t>
        </is>
      </c>
      <c r="J313" t="inlineStr">
        <is>
          <t>cuts-and-headers</t>
        </is>
      </c>
      <c r="K313" t="inlineStr">
        <is>
          <t>PROD_C11_C18</t>
        </is>
      </c>
      <c r="L313" t="inlineStr">
        <is>
          <t>rho_kg_m3</t>
        </is>
      </c>
    </row>
    <row r="314">
      <c r="A314" t="inlineStr">
        <is>
          <t>OIL.pyro-fractionation-train.cuts-and-headers.PROD_C19_C28.hold_d</t>
        </is>
      </c>
      <c r="B314" s="4" t="n">
        <v>14</v>
      </c>
      <c r="C314" t="inlineStr">
        <is>
          <t>d hold time (A-M-225 basis: resupply interval or batch decoupling)</t>
        </is>
      </c>
      <c r="E314" t="inlineStr">
        <is>
          <t>A-M-225</t>
        </is>
      </c>
      <c r="H314" t="inlineStr">
        <is>
          <t>OIL</t>
        </is>
      </c>
      <c r="I314" t="inlineStr">
        <is>
          <t>pyro-fractionation-train</t>
        </is>
      </c>
      <c r="J314" t="inlineStr">
        <is>
          <t>cuts-and-headers</t>
        </is>
      </c>
      <c r="K314" t="inlineStr">
        <is>
          <t>PROD_C19_C28</t>
        </is>
      </c>
      <c r="L314" t="inlineStr">
        <is>
          <t>hold_d</t>
        </is>
      </c>
    </row>
    <row r="315">
      <c r="A315" t="inlineStr">
        <is>
          <t>OIL.pyro-fractionation-train.cuts-and-headers.PROD_C19_C28.rho_kg_m3</t>
        </is>
      </c>
      <c r="B315" s="4" t="n">
        <v>800</v>
      </c>
      <c r="C315" t="inlineStr">
        <is>
          <t>kg/m3 stored liquid at 20 C</t>
        </is>
      </c>
      <c r="D315" t="inlineStr">
        <is>
          <t>PERRY9</t>
        </is>
      </c>
      <c r="H315" t="inlineStr">
        <is>
          <t>OIL</t>
        </is>
      </c>
      <c r="I315" t="inlineStr">
        <is>
          <t>pyro-fractionation-train</t>
        </is>
      </c>
      <c r="J315" t="inlineStr">
        <is>
          <t>cuts-and-headers</t>
        </is>
      </c>
      <c r="K315" t="inlineStr">
        <is>
          <t>PROD_C19_C28</t>
        </is>
      </c>
      <c r="L315" t="inlineStr">
        <is>
          <t>rho_kg_m3</t>
        </is>
      </c>
    </row>
    <row r="316">
      <c r="A316" t="inlineStr">
        <is>
          <t>OIL.pyro-fractionation-train.cuts-and-headers.PROD_C29.hold_d</t>
        </is>
      </c>
      <c r="B316" s="4" t="n">
        <v>3</v>
      </c>
      <c r="C316" t="inlineStr">
        <is>
          <t>d hold time (A-M-225 basis: resupply interval or batch decoupling)</t>
        </is>
      </c>
      <c r="E316" t="inlineStr">
        <is>
          <t>A-M-225</t>
        </is>
      </c>
      <c r="H316" t="inlineStr">
        <is>
          <t>OIL</t>
        </is>
      </c>
      <c r="I316" t="inlineStr">
        <is>
          <t>pyro-fractionation-train</t>
        </is>
      </c>
      <c r="J316" t="inlineStr">
        <is>
          <t>cuts-and-headers</t>
        </is>
      </c>
      <c r="K316" t="inlineStr">
        <is>
          <t>PROD_C29</t>
        </is>
      </c>
      <c r="L316" t="inlineStr">
        <is>
          <t>hold_d</t>
        </is>
      </c>
    </row>
    <row r="317">
      <c r="A317" t="inlineStr">
        <is>
          <t>OIL.pyro-fractionation-train.cuts-and-headers.PROD_C29.rho_kg_m3</t>
        </is>
      </c>
      <c r="B317" s="4" t="n">
        <v>850</v>
      </c>
      <c r="C317" t="inlineStr">
        <is>
          <t>kg/m3 stored liquid at 20 C</t>
        </is>
      </c>
      <c r="D317" t="inlineStr">
        <is>
          <t>PERRY9</t>
        </is>
      </c>
      <c r="H317" t="inlineStr">
        <is>
          <t>OIL</t>
        </is>
      </c>
      <c r="I317" t="inlineStr">
        <is>
          <t>pyro-fractionation-train</t>
        </is>
      </c>
      <c r="J317" t="inlineStr">
        <is>
          <t>cuts-and-headers</t>
        </is>
      </c>
      <c r="K317" t="inlineStr">
        <is>
          <t>PROD_C29</t>
        </is>
      </c>
      <c r="L317" t="inlineStr">
        <is>
          <t>rho_kg_m3</t>
        </is>
      </c>
    </row>
    <row r="318">
      <c r="A318" t="inlineStr">
        <is>
          <t>OIL.pyro-fractionation-train.cuts-and-headers.PROD_C5_C10.hold_d</t>
        </is>
      </c>
      <c r="B318" s="4" t="n">
        <v>14</v>
      </c>
      <c r="C318" t="inlineStr">
        <is>
          <t>d hold time (A-M-225 basis: resupply interval or batch decoupling)</t>
        </is>
      </c>
      <c r="E318" t="inlineStr">
        <is>
          <t>A-M-225</t>
        </is>
      </c>
      <c r="H318" t="inlineStr">
        <is>
          <t>OIL</t>
        </is>
      </c>
      <c r="I318" t="inlineStr">
        <is>
          <t>pyro-fractionation-train</t>
        </is>
      </c>
      <c r="J318" t="inlineStr">
        <is>
          <t>cuts-and-headers</t>
        </is>
      </c>
      <c r="K318" t="inlineStr">
        <is>
          <t>PROD_C5_C10</t>
        </is>
      </c>
      <c r="L318" t="inlineStr">
        <is>
          <t>hold_d</t>
        </is>
      </c>
    </row>
    <row r="319">
      <c r="A319" t="inlineStr">
        <is>
          <t>OIL.pyro-fractionation-train.cuts-and-headers.PROD_C5_C10.rho_kg_m3</t>
        </is>
      </c>
      <c r="B319" s="4" t="n">
        <v>720</v>
      </c>
      <c r="C319" t="inlineStr">
        <is>
          <t>kg/m3 stored liquid at 20 C</t>
        </is>
      </c>
      <c r="D319" t="inlineStr">
        <is>
          <t>PERRY9</t>
        </is>
      </c>
      <c r="H319" t="inlineStr">
        <is>
          <t>OIL</t>
        </is>
      </c>
      <c r="I319" t="inlineStr">
        <is>
          <t>pyro-fractionation-train</t>
        </is>
      </c>
      <c r="J319" t="inlineStr">
        <is>
          <t>cuts-and-headers</t>
        </is>
      </c>
      <c r="K319" t="inlineStr">
        <is>
          <t>PROD_C5_C10</t>
        </is>
      </c>
      <c r="L319" t="inlineStr">
        <is>
          <t>rho_kg_m3</t>
        </is>
      </c>
    </row>
    <row r="320">
      <c r="A320" t="inlineStr">
        <is>
          <t>OIL.pyro-fractionation-train.pyro-frac.HOPPER.hold_d</t>
        </is>
      </c>
      <c r="B320" s="4" t="n">
        <v>1</v>
      </c>
      <c r="C320" t="inlineStr">
        <is>
          <t>d hold time (A-M-225 basis: resupply interval or batch decoupling)</t>
        </is>
      </c>
      <c r="E320" t="inlineStr">
        <is>
          <t>A-M-225</t>
        </is>
      </c>
      <c r="H320" t="inlineStr">
        <is>
          <t>OIL</t>
        </is>
      </c>
      <c r="I320" t="inlineStr">
        <is>
          <t>pyro-fractionation-train</t>
        </is>
      </c>
      <c r="J320" t="inlineStr">
        <is>
          <t>pyro-frac</t>
        </is>
      </c>
      <c r="K320" t="inlineStr">
        <is>
          <t>HOPPER</t>
        </is>
      </c>
      <c r="L320" t="inlineStr">
        <is>
          <t>hold_d</t>
        </is>
      </c>
    </row>
    <row r="321">
      <c r="A321" t="inlineStr">
        <is>
          <t>OIL.pyro-fractionation-train.pyro-frac.HOPPER.rho_kg_m3</t>
        </is>
      </c>
      <c r="B321" s="4" t="n">
        <v>500</v>
      </c>
      <c r="C321" t="inlineStr">
        <is>
          <t>kg/m3 stored liquid at 20 C</t>
        </is>
      </c>
      <c r="D321" t="inlineStr">
        <is>
          <t>PERRY9</t>
        </is>
      </c>
      <c r="H321" t="inlineStr">
        <is>
          <t>OIL</t>
        </is>
      </c>
      <c r="I321" t="inlineStr">
        <is>
          <t>pyro-fractionation-train</t>
        </is>
      </c>
      <c r="J321" t="inlineStr">
        <is>
          <t>pyro-frac</t>
        </is>
      </c>
      <c r="K321" t="inlineStr">
        <is>
          <t>HOPPER</t>
        </is>
      </c>
      <c r="L321" t="inlineStr">
        <is>
          <t>rho_kg_m3</t>
        </is>
      </c>
    </row>
    <row r="322">
      <c r="A322" t="inlineStr">
        <is>
          <t>POLYMERS.fluoropolymer-train.H2SO4_wt</t>
        </is>
      </c>
      <c r="B322" s="4" t="n">
        <v>0.98</v>
      </c>
      <c r="C322" t="inlineStr">
        <is>
          <t>mass fraction</t>
        </is>
      </c>
      <c r="D322" t="inlineStr">
        <is>
          <t>ULLMANN_HF</t>
        </is>
      </c>
      <c r="H322" t="inlineStr">
        <is>
          <t>POLYMERS</t>
        </is>
      </c>
      <c r="I322" t="inlineStr">
        <is>
          <t>fluoropolymer-train</t>
        </is>
      </c>
      <c r="J322" t="inlineStr">
        <is>
          <t>H2SO4_wt</t>
        </is>
      </c>
    </row>
    <row r="323">
      <c r="A323" t="inlineStr">
        <is>
          <t>POLYMERS.fluoropolymer-train.fluorspar_CaF2_wt</t>
        </is>
      </c>
      <c r="B323" s="4" t="n">
        <v>0.97</v>
      </c>
      <c r="C323" t="inlineStr">
        <is>
          <t>mass fraction</t>
        </is>
      </c>
      <c r="D323" t="inlineStr">
        <is>
          <t>ULLMANN_HF</t>
        </is>
      </c>
      <c r="H323" t="inlineStr">
        <is>
          <t>POLYMERS</t>
        </is>
      </c>
      <c r="I323" t="inlineStr">
        <is>
          <t>fluoropolymer-train</t>
        </is>
      </c>
      <c r="J323" t="inlineStr">
        <is>
          <t>fluorspar_CaF2_wt</t>
        </is>
      </c>
    </row>
    <row r="324">
      <c r="A324" t="inlineStr">
        <is>
          <t>POLYMERS.fluoropolymer-train.hf_kiln.CaF2_conversion</t>
        </is>
      </c>
      <c r="B324" s="4" t="n">
        <v>0.95</v>
      </c>
      <c r="C324" t="inlineStr">
        <is>
          <t>fraction of charged CaF2</t>
        </is>
      </c>
      <c r="D324" t="inlineStr">
        <is>
          <t>ULLMANN_HF</t>
        </is>
      </c>
      <c r="H324" t="inlineStr">
        <is>
          <t>POLYMERS</t>
        </is>
      </c>
      <c r="I324" t="inlineStr">
        <is>
          <t>fluoropolymer-train</t>
        </is>
      </c>
      <c r="J324" t="inlineStr">
        <is>
          <t>hf_kiln</t>
        </is>
      </c>
      <c r="K324" t="inlineStr">
        <is>
          <t>CaF2_conversion</t>
        </is>
      </c>
    </row>
    <row r="325">
      <c r="A325" t="inlineStr">
        <is>
          <t>POLYMERS.fluoropolymer-train.hf_kiln.H2SO4_stoich_frac</t>
        </is>
      </c>
      <c r="B325" s="4" t="n">
        <v>1.05</v>
      </c>
      <c r="C325" t="inlineStr">
        <is>
          <t>fraction of stoichiometric</t>
        </is>
      </c>
      <c r="D325" t="inlineStr">
        <is>
          <t>ULLMANN_HF</t>
        </is>
      </c>
      <c r="H325" t="inlineStr">
        <is>
          <t>POLYMERS</t>
        </is>
      </c>
      <c r="I325" t="inlineStr">
        <is>
          <t>fluoropolymer-train</t>
        </is>
      </c>
      <c r="J325" t="inlineStr">
        <is>
          <t>hf_kiln</t>
        </is>
      </c>
      <c r="K325" t="inlineStr">
        <is>
          <t>H2SO4_stoich_frac</t>
        </is>
      </c>
    </row>
    <row r="326">
      <c r="A326" t="inlineStr">
        <is>
          <t>POLYMERS.fluoropolymer-train.hf_kiln.T_C</t>
        </is>
      </c>
      <c r="B326" s="4" t="n">
        <v>250</v>
      </c>
      <c r="C326" t="inlineStr">
        <is>
          <t>C</t>
        </is>
      </c>
      <c r="D326" t="inlineStr">
        <is>
          <t>ULLMANN_HF</t>
        </is>
      </c>
      <c r="H326" t="inlineStr">
        <is>
          <t>POLYMERS</t>
        </is>
      </c>
      <c r="I326" t="inlineStr">
        <is>
          <t>fluoropolymer-train</t>
        </is>
      </c>
      <c r="J326" t="inlineStr">
        <is>
          <t>hf_kiln</t>
        </is>
      </c>
      <c r="K326" t="inlineStr">
        <is>
          <t>T_C</t>
        </is>
      </c>
    </row>
    <row r="327">
      <c r="A327" t="inlineStr">
        <is>
          <t>POLYMERS.fluoropolymer-train.hf_kiln.dHrxn_kJ_mol</t>
        </is>
      </c>
      <c r="B327" s="4" t="n">
        <v>65.7</v>
      </c>
      <c r="C327" t="inlineStr">
        <is>
          <t>kJ/mol CaF2</t>
        </is>
      </c>
      <c r="D327" t="inlineStr">
        <is>
          <t>NIST_WEBBOOK</t>
        </is>
      </c>
      <c r="H327" t="inlineStr">
        <is>
          <t>POLYMERS</t>
        </is>
      </c>
      <c r="I327" t="inlineStr">
        <is>
          <t>fluoropolymer-train</t>
        </is>
      </c>
      <c r="J327" t="inlineStr">
        <is>
          <t>hf_kiln</t>
        </is>
      </c>
      <c r="K327" t="inlineStr">
        <is>
          <t>dHrxn_kJ_mol</t>
        </is>
      </c>
    </row>
    <row r="328">
      <c r="A328" t="inlineStr">
        <is>
          <t>POLYMERS.fluoropolymer-train.hf_kiln.feed_cp_kJ_kgK</t>
        </is>
      </c>
      <c r="B328" s="4" t="n">
        <v>1.1</v>
      </c>
      <c r="C328" t="inlineStr">
        <is>
          <t>kJ/kg K</t>
        </is>
      </c>
      <c r="D328" t="inlineStr">
        <is>
          <t>PERRY9</t>
        </is>
      </c>
      <c r="H328" t="inlineStr">
        <is>
          <t>POLYMERS</t>
        </is>
      </c>
      <c r="I328" t="inlineStr">
        <is>
          <t>fluoropolymer-train</t>
        </is>
      </c>
      <c r="J328" t="inlineStr">
        <is>
          <t>hf_kiln</t>
        </is>
      </c>
      <c r="K328" t="inlineStr">
        <is>
          <t>feed_cp_kJ_kgK</t>
        </is>
      </c>
    </row>
    <row r="329">
      <c r="A329" t="inlineStr">
        <is>
          <t>POLYMERS.fluoropolymer-train.hf_kiln.residence_min</t>
        </is>
      </c>
      <c r="B329" s="4" t="n">
        <v>30</v>
      </c>
      <c r="C329" t="inlineStr">
        <is>
          <t>min</t>
        </is>
      </c>
      <c r="D329" t="inlineStr">
        <is>
          <t>ULLMANN_HF</t>
        </is>
      </c>
      <c r="F329" t="b">
        <v>1</v>
      </c>
      <c r="G329" t="inlineStr">
        <is>
          <t>kiln exit HF strength vs residence at the first-article campaign</t>
        </is>
      </c>
      <c r="H329" t="inlineStr">
        <is>
          <t>POLYMERS</t>
        </is>
      </c>
      <c r="I329" t="inlineStr">
        <is>
          <t>fluoropolymer-train</t>
        </is>
      </c>
      <c r="J329" t="inlineStr">
        <is>
          <t>hf_kiln</t>
        </is>
      </c>
      <c r="K329" t="inlineStr">
        <is>
          <t>residence_min</t>
        </is>
      </c>
    </row>
    <row r="330">
      <c r="A330" t="inlineStr">
        <is>
          <t>POLYMERS.fluoropolymer-train.ptfe_resin_kg_d</t>
        </is>
      </c>
      <c r="B330" s="4" t="n">
        <v>0.09</v>
      </c>
      <c r="C330" t="inlineStr">
        <is>
          <t>kg/d</t>
        </is>
      </c>
      <c r="D330" t="inlineStr">
        <is>
          <t>AQS-RATE-FP-MET design rate (~90 % of monomer at the reclaim loop; A-M-280) (A-M-283)</t>
        </is>
      </c>
      <c r="H330" t="inlineStr">
        <is>
          <t>POLYMERS</t>
        </is>
      </c>
      <c r="I330" t="inlineStr">
        <is>
          <t>fluoropolymer-train</t>
        </is>
      </c>
      <c r="J330" t="inlineStr">
        <is>
          <t>ptfe_resin_kg_d</t>
        </is>
      </c>
    </row>
    <row r="331">
      <c r="A331" t="inlineStr">
        <is>
          <t>POLYMERS.fluoropolymer-train.pvdf_resin_kg_d</t>
        </is>
      </c>
      <c r="B331" s="4" t="n">
        <v>0.14</v>
      </c>
      <c r="C331" t="inlineStr">
        <is>
          <t>kg/d</t>
        </is>
      </c>
      <c r="D331" t="inlineStr">
        <is>
          <t>AQS-RATE-FP-MET design rate (~90-93 % of monomer at the reclaim loop; A-M-280) (A-M-283)</t>
        </is>
      </c>
      <c r="H331" t="inlineStr">
        <is>
          <t>POLYMERS</t>
        </is>
      </c>
      <c r="I331" t="inlineStr">
        <is>
          <t>fluoropolymer-train</t>
        </is>
      </c>
      <c r="J331" t="inlineStr">
        <is>
          <t>pvdf_resin_kg_d</t>
        </is>
      </c>
    </row>
    <row r="332">
      <c r="A332" t="inlineStr">
        <is>
          <t>POLYMERS.fluoropolymer-train.tfe_monomer_kg_d</t>
        </is>
      </c>
      <c r="B332" s="4" t="n">
        <v>0.1</v>
      </c>
      <c r="C332" t="inlineStr">
        <is>
          <t>kg/d</t>
        </is>
      </c>
      <c r="D332" t="inlineStr">
        <is>
          <t>AQS-RATE-FP-MET design rate (PTFE gaskets and small parts replacement; A-M-280) (A-M-283)</t>
        </is>
      </c>
      <c r="H332" t="inlineStr">
        <is>
          <t>POLYMERS</t>
        </is>
      </c>
      <c r="I332" t="inlineStr">
        <is>
          <t>fluoropolymer-train</t>
        </is>
      </c>
      <c r="J332" t="inlineStr">
        <is>
          <t>tfe_monomer_kg_d</t>
        </is>
      </c>
    </row>
    <row r="333">
      <c r="A333" t="inlineStr">
        <is>
          <t>POLYMERS.fluoropolymer-train.vdf_monomer_kg_d</t>
        </is>
      </c>
      <c r="B333" s="4" t="n">
        <v>0.15</v>
      </c>
      <c r="C333" t="inlineStr">
        <is>
          <t>kg/d</t>
        </is>
      </c>
      <c r="D333" t="inlineStr">
        <is>
          <t>AQS-RATE-FP-MET design rate (PVDF linings and gaskets replacement; A-M-280) (A-M-283)</t>
        </is>
      </c>
      <c r="H333" t="inlineStr">
        <is>
          <t>POLYMERS</t>
        </is>
      </c>
      <c r="I333" t="inlineStr">
        <is>
          <t>fluoropolymer-train</t>
        </is>
      </c>
      <c r="J333" t="inlineStr">
        <is>
          <t>vdf_monomer_kg_d</t>
        </is>
      </c>
    </row>
    <row r="334">
      <c r="A334" t="inlineStr">
        <is>
          <t>POLYMERS.polyolefin-train.POLY_OLEFIN.feed_cp_kJ_kgK</t>
        </is>
      </c>
      <c r="B334" s="4" t="n">
        <v>2.1</v>
      </c>
      <c r="C334" t="inlineStr">
        <is>
          <t>kJ/(kg K) naphtha/polyolefin feed liquid cp</t>
        </is>
      </c>
      <c r="D334" t="inlineStr">
        <is>
          <t>PERRY9_HEAT</t>
        </is>
      </c>
      <c r="H334" t="inlineStr">
        <is>
          <t>POLYMERS</t>
        </is>
      </c>
      <c r="I334" t="inlineStr">
        <is>
          <t>polyolefin-train</t>
        </is>
      </c>
      <c r="J334" t="inlineStr">
        <is>
          <t>POLY_OLEFIN</t>
        </is>
      </c>
      <c r="K334" t="inlineStr">
        <is>
          <t>feed_cp_kJ_kgK</t>
        </is>
      </c>
    </row>
    <row r="335">
      <c r="A335" t="inlineStr">
        <is>
          <t>POLYMERS.polyolefin-train.POLY_OLEFIN.feed_dT_K</t>
        </is>
      </c>
      <c r="B335" s="4" t="n">
        <v>175</v>
      </c>
      <c r="C335" t="inlineStr">
        <is>
          <t>K feed temperature rise 25 -&gt; 200 C</t>
        </is>
      </c>
      <c r="D335" t="inlineStr">
        <is>
          <t>AQS-SIZE-OIL-POLY feed heating 25-&gt;200 C</t>
        </is>
      </c>
      <c r="H335" t="inlineStr">
        <is>
          <t>POLYMERS</t>
        </is>
      </c>
      <c r="I335" t="inlineStr">
        <is>
          <t>polyolefin-train</t>
        </is>
      </c>
      <c r="J335" t="inlineStr">
        <is>
          <t>POLY_OLEFIN</t>
        </is>
      </c>
      <c r="K335" t="inlineStr">
        <is>
          <t>feed_dT_K</t>
        </is>
      </c>
    </row>
    <row r="336">
      <c r="A336" t="inlineStr">
        <is>
          <t>PUMPED_HYDRO.hydro-train.HYDRO_SET.wt_catch_top_deduct_m</t>
        </is>
      </c>
      <c r="B336" s="4" t="n">
        <v>0.5</v>
      </c>
      <c r="C336" t="inlineStr">
        <is>
          <t>m deducted above the catchment top (L-1 slab 0.3 + 0.2 bund-sump recess)</t>
        </is>
      </c>
      <c r="E336" t="inlineStr">
        <is>
          <t>A-M-187 (GA rev C)</t>
        </is>
      </c>
      <c r="H336" t="inlineStr">
        <is>
          <t>PUMPED_HYDRO</t>
        </is>
      </c>
      <c r="I336" t="inlineStr">
        <is>
          <t>hydro-train</t>
        </is>
      </c>
      <c r="J336" t="inlineStr">
        <is>
          <t>HYDRO_SET</t>
        </is>
      </c>
      <c r="K336" t="inlineStr">
        <is>
          <t>wt_catch_top_deduct_m</t>
        </is>
      </c>
    </row>
    <row r="337">
      <c r="A337" t="inlineStr">
        <is>
          <t>PUMPED_HYDRO.hydro-train.HYDRO_SET.wt_cells_min</t>
        </is>
      </c>
      <c r="B337" s="4" t="n">
        <v>2</v>
      </c>
      <c r="C337" t="inlineStr">
        <is>
          <t>- minimum cells per reservoir level (one drainable for inspection)</t>
        </is>
      </c>
      <c r="E337" t="inlineStr">
        <is>
          <t>A-M-187 (redundancy rule)</t>
        </is>
      </c>
      <c r="H337" t="inlineStr">
        <is>
          <t>PUMPED_HYDRO</t>
        </is>
      </c>
      <c r="I337" t="inlineStr">
        <is>
          <t>hydro-train</t>
        </is>
      </c>
      <c r="J337" t="inlineStr">
        <is>
          <t>HYDRO_SET</t>
        </is>
      </c>
      <c r="K337" t="inlineStr">
        <is>
          <t>wt_cells_min</t>
        </is>
      </c>
    </row>
    <row r="338">
      <c r="A338" t="inlineStr">
        <is>
          <t>PUMPED_HYDRO.hydro-train.HYDRO_SET.wt_slab_m</t>
        </is>
      </c>
      <c r="B338" s="4" t="n">
        <v>0.3</v>
      </c>
      <c r="C338" t="inlineStr">
        <is>
          <t>m slab depth between reservoir levels</t>
        </is>
      </c>
      <c r="E338" t="inlineStr">
        <is>
          <t>A-M-187</t>
        </is>
      </c>
      <c r="H338" t="inlineStr">
        <is>
          <t>PUMPED_HYDRO</t>
        </is>
      </c>
      <c r="I338" t="inlineStr">
        <is>
          <t>hydro-train</t>
        </is>
      </c>
      <c r="J338" t="inlineStr">
        <is>
          <t>HYDRO_SET</t>
        </is>
      </c>
      <c r="K338" t="inlineStr">
        <is>
          <t>wt_slab_m</t>
        </is>
      </c>
    </row>
    <row r="339">
      <c r="A339" t="inlineStr">
        <is>
          <t>PUMPED_HYDRO.hydro-train.recharge_window_h</t>
        </is>
      </c>
      <c r="B339" s="4" t="n">
        <v>6</v>
      </c>
      <c r="C339" t="inlineStr">
        <is>
          <t>h PV-window recharge</t>
        </is>
      </c>
      <c r="E339" t="inlineStr">
        <is>
          <t>A-M-145 (diverse N+1 backup recharges over the PV surplus window)</t>
        </is>
      </c>
      <c r="H339" t="inlineStr">
        <is>
          <t>PUMPED_HYDRO</t>
        </is>
      </c>
      <c r="I339" t="inlineStr">
        <is>
          <t>hydro-train</t>
        </is>
      </c>
      <c r="J339" t="inlineStr">
        <is>
          <t>recharge_window_h</t>
        </is>
      </c>
    </row>
    <row r="340">
      <c r="A340" t="inlineStr">
        <is>
          <t>U_free_convection_W_m2K</t>
        </is>
      </c>
      <c r="B340" s="4" t="n">
        <v>7</v>
      </c>
      <c r="C340" t="inlineStr">
        <is>
          <t>W/(m2 K)</t>
        </is>
      </c>
      <c r="D340" t="inlineStr">
        <is>
          <t>INCROPERA7</t>
        </is>
      </c>
      <c r="F340" t="b">
        <v>1</v>
      </c>
      <c r="G340" t="inlineStr">
        <is>
          <t>Coil outlet temperature on the installed air cooler</t>
        </is>
      </c>
    </row>
    <row r="341">
      <c r="A341" t="inlineStr">
        <is>
          <t>WTR.grey-black-train.BLACK_DIGEST.san_comb_O2_kg_d</t>
        </is>
      </c>
      <c r="B341" s="4" t="n">
        <v>0.32</v>
      </c>
      <c r="C341" t="inlineStr">
        <is>
          <t>kg/d combustion O2 for sanitation cake and biogas (already taken on S02)</t>
        </is>
      </c>
      <c r="E341" t="inlineStr">
        <is>
          <t>AQS-DUTY-063 Rev B</t>
        </is>
      </c>
      <c r="H341" t="inlineStr">
        <is>
          <t>WTR</t>
        </is>
      </c>
      <c r="I341" t="inlineStr">
        <is>
          <t>grey-black-train</t>
        </is>
      </c>
      <c r="J341" t="inlineStr">
        <is>
          <t>BLACK_DIGEST</t>
        </is>
      </c>
      <c r="K341" t="inlineStr">
        <is>
          <t>san_comb_O2_kg_d</t>
        </is>
      </c>
    </row>
    <row r="342">
      <c r="A342" t="inlineStr">
        <is>
          <t>WTR.grey-black-train.san_CA_mm</t>
        </is>
      </c>
      <c r="B342" s="4" t="n">
        <v>0</v>
      </c>
      <c r="C342" t="inlineStr">
        <is>
          <t>mm corrosion allowance (none, 316L)</t>
        </is>
      </c>
      <c r="E342" t="inlineStr">
        <is>
          <t>A-M-118</t>
        </is>
      </c>
      <c r="H342" t="inlineStr">
        <is>
          <t>WTR</t>
        </is>
      </c>
      <c r="I342" t="inlineStr">
        <is>
          <t>grey-black-train</t>
        </is>
      </c>
      <c r="J342" t="inlineStr">
        <is>
          <t>san_CA_mm</t>
        </is>
      </c>
    </row>
    <row r="343">
      <c r="A343" t="inlineStr">
        <is>
          <t>WTR.grey-black-train.san_ab_DN_ladder_mm</t>
        </is>
      </c>
      <c r="B343" s="4" t="inlineStr">
        <is>
          <t>[150,200,250,300,350,400]</t>
        </is>
      </c>
      <c r="C343" t="inlineStr">
        <is>
          <t>mm DN ladder for the afterburner chamber</t>
        </is>
      </c>
      <c r="E343" t="inlineStr">
        <is>
          <t>A-M-118</t>
        </is>
      </c>
      <c r="H343" t="inlineStr">
        <is>
          <t>WTR</t>
        </is>
      </c>
      <c r="I343" t="inlineStr">
        <is>
          <t>grey-black-train</t>
        </is>
      </c>
      <c r="J343" t="inlineStr">
        <is>
          <t>san_ab_DN_ladder_mm</t>
        </is>
      </c>
    </row>
    <row r="344">
      <c r="A344" t="inlineStr">
        <is>
          <t>WTR.grey-black-train.san_ab_LD</t>
        </is>
      </c>
      <c r="B344" s="4" t="n">
        <v>3</v>
      </c>
      <c r="C344" t="inlineStr">
        <is>
          <t>- afterburner chamber length over diameter</t>
        </is>
      </c>
      <c r="E344" t="inlineStr">
        <is>
          <t>A-M-118</t>
        </is>
      </c>
      <c r="H344" t="inlineStr">
        <is>
          <t>WTR</t>
        </is>
      </c>
      <c r="I344" t="inlineStr">
        <is>
          <t>grey-black-train</t>
        </is>
      </c>
      <c r="J344" t="inlineStr">
        <is>
          <t>san_ab_LD</t>
        </is>
      </c>
    </row>
    <row r="345">
      <c r="A345" t="inlineStr">
        <is>
          <t>WTR.grey-black-train.san_ab_T_C</t>
        </is>
      </c>
      <c r="B345" s="4" t="n">
        <v>850</v>
      </c>
      <c r="C345" t="inlineStr">
        <is>
          <t>C afterburner chamber temperature</t>
        </is>
      </c>
      <c r="D345" t="inlineStr">
        <is>
          <t>EU_IED2010</t>
        </is>
      </c>
      <c r="H345" t="inlineStr">
        <is>
          <t>WTR</t>
        </is>
      </c>
      <c r="I345" t="inlineStr">
        <is>
          <t>grey-black-train</t>
        </is>
      </c>
      <c r="J345" t="inlineStr">
        <is>
          <t>san_ab_T_C</t>
        </is>
      </c>
    </row>
    <row r="346">
      <c r="A346" t="inlineStr">
        <is>
          <t>WTR.grey-black-train.san_ab_feed_base_kg_d</t>
        </is>
      </c>
      <c r="B346" s="4" t="n">
        <v>6.2662</v>
      </c>
      <c r="C346" t="inlineStr">
        <is>
          <t>kg/d base AFTERBURNER feed before cake and biogas</t>
        </is>
      </c>
      <c r="E346" t="inlineStr">
        <is>
          <t>graph AFTERBURNER feed at X-SAN-01 Rev B (as-used)</t>
        </is>
      </c>
      <c r="H346" t="inlineStr">
        <is>
          <t>WTR</t>
        </is>
      </c>
      <c r="I346" t="inlineStr">
        <is>
          <t>grey-black-train</t>
        </is>
      </c>
      <c r="J346" t="inlineStr">
        <is>
          <t>san_ab_feed_base_kg_d</t>
        </is>
      </c>
    </row>
    <row r="347">
      <c r="A347" t="inlineStr">
        <is>
          <t>WTR.grey-black-train.san_ab_flue_base_kg_d</t>
        </is>
      </c>
      <c r="B347" s="4" t="n">
        <v>241.68</v>
      </c>
      <c r="C347" t="inlineStr">
        <is>
          <t>kg/d base AFTERBURNER flue before sanitation fuel</t>
        </is>
      </c>
      <c r="E347" t="inlineStr">
        <is>
          <t>AQS-DUTY-008 as-used at X-SAN-01 Rev B</t>
        </is>
      </c>
      <c r="H347" t="inlineStr">
        <is>
          <t>WTR</t>
        </is>
      </c>
      <c r="I347" t="inlineStr">
        <is>
          <t>grey-black-train</t>
        </is>
      </c>
      <c r="J347" t="inlineStr">
        <is>
          <t>san_ab_flue_base_kg_d</t>
        </is>
      </c>
    </row>
    <row r="348">
      <c r="A348" t="inlineStr">
        <is>
          <t>WTR.grey-black-train.san_ab_residence_s</t>
        </is>
      </c>
      <c r="B348" s="4" t="n">
        <v>2</v>
      </c>
      <c r="C348" t="inlineStr">
        <is>
          <t>s afterburner chamber residence time at temperature</t>
        </is>
      </c>
      <c r="D348" t="inlineStr">
        <is>
          <t>EU_IED2010</t>
        </is>
      </c>
      <c r="H348" t="inlineStr">
        <is>
          <t>WTR</t>
        </is>
      </c>
      <c r="I348" t="inlineStr">
        <is>
          <t>grey-black-train</t>
        </is>
      </c>
      <c r="J348" t="inlineStr">
        <is>
          <t>san_ab_residence_s</t>
        </is>
      </c>
    </row>
    <row r="349">
      <c r="A349" t="inlineStr">
        <is>
          <t>WTR.grey-black-train.san_air_rho20_kg_m3</t>
        </is>
      </c>
      <c r="B349" s="4" t="n">
        <v>1.2</v>
      </c>
      <c r="C349" t="inlineStr">
        <is>
          <t>kg/m3 air density at 20 C (flue and vent superficials)</t>
        </is>
      </c>
      <c r="E349" t="inlineStr">
        <is>
          <t>A-M-118</t>
        </is>
      </c>
      <c r="H349" t="inlineStr">
        <is>
          <t>WTR</t>
        </is>
      </c>
      <c r="I349" t="inlineStr">
        <is>
          <t>grey-black-train</t>
        </is>
      </c>
      <c r="J349" t="inlineStr">
        <is>
          <t>san_air_rho20_kg_m3</t>
        </is>
      </c>
    </row>
    <row r="350">
      <c r="A350" t="inlineStr">
        <is>
          <t>WTR.grey-black-train.san_biogas_ch4_frac</t>
        </is>
      </c>
      <c r="B350" s="4" t="n">
        <v>0.65</v>
      </c>
      <c r="C350" t="inlineStr">
        <is>
          <t>- CH4 volume fraction in digester biogas</t>
        </is>
      </c>
      <c r="D350" t="inlineStr">
        <is>
          <t>METCALF5_BIOMASS</t>
        </is>
      </c>
      <c r="H350" t="inlineStr">
        <is>
          <t>WTR</t>
        </is>
      </c>
      <c r="I350" t="inlineStr">
        <is>
          <t>grey-black-train</t>
        </is>
      </c>
      <c r="J350" t="inlineStr">
        <is>
          <t>san_biogas_ch4_frac</t>
        </is>
      </c>
    </row>
    <row r="351">
      <c r="A351" t="inlineStr">
        <is>
          <t>WTR.grey-black-train.san_dewater_size_mm</t>
        </is>
      </c>
      <c r="B351" s="4" t="inlineStr">
        <is>
          <t>[800,600,900]</t>
        </is>
      </c>
      <c r="C351" t="inlineStr">
        <is>
          <t>mm L x W x H screw-press envelope</t>
        </is>
      </c>
      <c r="E351" t="inlineStr">
        <is>
          <t>A-M-118</t>
        </is>
      </c>
      <c r="H351" t="inlineStr">
        <is>
          <t>WTR</t>
        </is>
      </c>
      <c r="I351" t="inlineStr">
        <is>
          <t>grey-black-train</t>
        </is>
      </c>
      <c r="J351" t="inlineStr">
        <is>
          <t>san_dewater_size_mm</t>
        </is>
      </c>
    </row>
    <row r="352">
      <c r="A352" t="inlineStr">
        <is>
          <t>WTR.grey-black-train.san_dig_U_W_m2K</t>
        </is>
      </c>
      <c r="B352" s="4" t="n">
        <v>0.5</v>
      </c>
      <c r="C352" t="inlineStr">
        <is>
          <t>W/(m2 K) digester loss coefficient through 50 mm PIR</t>
        </is>
      </c>
      <c r="E352" t="inlineStr">
        <is>
          <t>A-M-118</t>
        </is>
      </c>
      <c r="H352" t="inlineStr">
        <is>
          <t>WTR</t>
        </is>
      </c>
      <c r="I352" t="inlineStr">
        <is>
          <t>grey-black-train</t>
        </is>
      </c>
      <c r="J352" t="inlineStr">
        <is>
          <t>san_dig_U_W_m2K</t>
        </is>
      </c>
    </row>
    <row r="353">
      <c r="A353" t="inlineStr">
        <is>
          <t>WTR.grey-black-train.san_dig_aux_kW</t>
        </is>
      </c>
      <c r="B353" s="4" t="n">
        <v>0.02</v>
      </c>
      <c r="C353" t="inlineStr">
        <is>
          <t>kW BLACK_DIGEST auxiliary (mixing, controls)</t>
        </is>
      </c>
      <c r="E353" t="inlineStr">
        <is>
          <t>A-M-118</t>
        </is>
      </c>
      <c r="H353" t="inlineStr">
        <is>
          <t>WTR</t>
        </is>
      </c>
      <c r="I353" t="inlineStr">
        <is>
          <t>grey-black-train</t>
        </is>
      </c>
      <c r="J353" t="inlineStr">
        <is>
          <t>san_dig_aux_kW</t>
        </is>
      </c>
    </row>
    <row r="354">
      <c r="A354" t="inlineStr">
        <is>
          <t>WTR.grey-black-train.san_dig_fill</t>
        </is>
      </c>
      <c r="B354" s="4" t="n">
        <v>0.8</v>
      </c>
      <c r="C354" t="inlineStr">
        <is>
          <t>- BLACK_DIGEST working fill</t>
        </is>
      </c>
      <c r="E354" t="inlineStr">
        <is>
          <t>A-M-118</t>
        </is>
      </c>
      <c r="H354" t="inlineStr">
        <is>
          <t>WTR</t>
        </is>
      </c>
      <c r="I354" t="inlineStr">
        <is>
          <t>grey-black-train</t>
        </is>
      </c>
      <c r="J354" t="inlineStr">
        <is>
          <t>san_dig_fill</t>
        </is>
      </c>
    </row>
    <row r="355">
      <c r="A355" t="inlineStr">
        <is>
          <t>WTR.grey-black-train.san_evap_MJ_kg</t>
        </is>
      </c>
      <c r="B355" s="4" t="n">
        <v>2.45</v>
      </c>
      <c r="C355" t="inlineStr">
        <is>
          <t>MJ/kg evaporation heat in the chamber</t>
        </is>
      </c>
      <c r="E355" t="inlineStr">
        <is>
          <t>A-M-118 (study)</t>
        </is>
      </c>
      <c r="H355" t="inlineStr">
        <is>
          <t>WTR</t>
        </is>
      </c>
      <c r="I355" t="inlineStr">
        <is>
          <t>grey-black-train</t>
        </is>
      </c>
      <c r="J355" t="inlineStr">
        <is>
          <t>san_evap_MJ_kg</t>
        </is>
      </c>
    </row>
    <row r="356">
      <c r="A356" t="inlineStr">
        <is>
          <t>WTR.grey-black-train.san_feed_T_C</t>
        </is>
      </c>
      <c r="B356" s="4" t="n">
        <v>20</v>
      </c>
      <c r="C356" t="inlineStr">
        <is>
          <t>C feed and urine reference temperature</t>
        </is>
      </c>
      <c r="E356" t="inlineStr">
        <is>
          <t>A-M-118</t>
        </is>
      </c>
      <c r="H356" t="inlineStr">
        <is>
          <t>WTR</t>
        </is>
      </c>
      <c r="I356" t="inlineStr">
        <is>
          <t>grey-black-train</t>
        </is>
      </c>
      <c r="J356" t="inlineStr">
        <is>
          <t>san_feed_T_C</t>
        </is>
      </c>
    </row>
    <row r="357">
      <c r="A357" t="inlineStr">
        <is>
          <t>WTR.grey-black-train.san_hdpe_t_min_mm</t>
        </is>
      </c>
      <c r="B357" s="4" t="n">
        <v>4</v>
      </c>
      <c r="C357" t="inlineStr">
        <is>
          <t>mm HDPE minimum wall (hold tanks)</t>
        </is>
      </c>
      <c r="E357" t="inlineStr">
        <is>
          <t>A-M-118</t>
        </is>
      </c>
      <c r="H357" t="inlineStr">
        <is>
          <t>WTR</t>
        </is>
      </c>
      <c r="I357" t="inlineStr">
        <is>
          <t>grey-black-train</t>
        </is>
      </c>
      <c r="J357" t="inlineStr">
        <is>
          <t>san_hdpe_t_min_mm</t>
        </is>
      </c>
    </row>
    <row r="358">
      <c r="A358" t="inlineStr">
        <is>
          <t>WTR.grey-black-train.san_height_allow_mm</t>
        </is>
      </c>
      <c r="B358" s="4" t="n">
        <v>500</v>
      </c>
      <c r="C358" t="inlineStr">
        <is>
          <t>mm height allowance past the vessel</t>
        </is>
      </c>
      <c r="E358" t="inlineStr">
        <is>
          <t>A-M-118</t>
        </is>
      </c>
      <c r="H358" t="inlineStr">
        <is>
          <t>WTR</t>
        </is>
      </c>
      <c r="I358" t="inlineStr">
        <is>
          <t>grey-black-train</t>
        </is>
      </c>
      <c r="J358" t="inlineStr">
        <is>
          <t>san_height_allow_mm</t>
        </is>
      </c>
    </row>
    <row r="359">
      <c r="A359" t="inlineStr">
        <is>
          <t>WTR.grey-black-train.san_hold_aux_kW</t>
        </is>
      </c>
      <c r="B359" s="4" t="n">
        <v>0.02</v>
      </c>
      <c r="C359" t="inlineStr">
        <is>
          <t>kW BLACK_ALK_HOLD auxiliary (dosing pump, probe)</t>
        </is>
      </c>
      <c r="E359" t="inlineStr">
        <is>
          <t>A-M-118</t>
        </is>
      </c>
      <c r="H359" t="inlineStr">
        <is>
          <t>WTR</t>
        </is>
      </c>
      <c r="I359" t="inlineStr">
        <is>
          <t>grey-black-train</t>
        </is>
      </c>
      <c r="J359" t="inlineStr">
        <is>
          <t>san_hold_aux_kW</t>
        </is>
      </c>
    </row>
    <row r="360">
      <c r="A360" t="inlineStr">
        <is>
          <t>WTR.grey-black-train.san_hold_fill</t>
        </is>
      </c>
      <c r="B360" s="4" t="n">
        <v>0.9</v>
      </c>
      <c r="C360" t="inlineStr">
        <is>
          <t>- BLACK_ALK_HOLD tank working fill</t>
        </is>
      </c>
      <c r="E360" t="inlineStr">
        <is>
          <t>A-M-118</t>
        </is>
      </c>
      <c r="H360" t="inlineStr">
        <is>
          <t>WTR</t>
        </is>
      </c>
      <c r="I360" t="inlineStr">
        <is>
          <t>grey-black-train</t>
        </is>
      </c>
      <c r="J360" t="inlineStr">
        <is>
          <t>san_hold_fill</t>
        </is>
      </c>
    </row>
    <row r="361">
      <c r="A361" t="inlineStr">
        <is>
          <t>WTR.grey-black-train.san_hold_gap_mm</t>
        </is>
      </c>
      <c r="B361" s="4" t="n">
        <v>150</v>
      </c>
      <c r="C361" t="inlineStr">
        <is>
          <t>mm spacing between the three hold tanks</t>
        </is>
      </c>
      <c r="E361" t="inlineStr">
        <is>
          <t>A-M-118</t>
        </is>
      </c>
      <c r="H361" t="inlineStr">
        <is>
          <t>WTR</t>
        </is>
      </c>
      <c r="I361" t="inlineStr">
        <is>
          <t>grey-black-train</t>
        </is>
      </c>
      <c r="J361" t="inlineStr">
        <is>
          <t>san_hold_gap_mm</t>
        </is>
      </c>
    </row>
    <row r="362">
      <c r="A362" t="inlineStr">
        <is>
          <t>WTR.grey-black-train.san_ko_D_m</t>
        </is>
      </c>
      <c r="B362" s="4" t="n">
        <v>0.3</v>
      </c>
      <c r="C362" t="inlineStr">
        <is>
          <t>m FLUE_KO drum diameter (DN300)</t>
        </is>
      </c>
      <c r="E362" t="inlineStr">
        <is>
          <t>A-M-118</t>
        </is>
      </c>
      <c r="H362" t="inlineStr">
        <is>
          <t>WTR</t>
        </is>
      </c>
      <c r="I362" t="inlineStr">
        <is>
          <t>grey-black-train</t>
        </is>
      </c>
      <c r="J362" t="inlineStr">
        <is>
          <t>san_ko_D_m</t>
        </is>
      </c>
    </row>
    <row r="363">
      <c r="A363" t="inlineStr">
        <is>
          <t>WTR.grey-black-train.san_ko_T_C</t>
        </is>
      </c>
      <c r="B363" s="4" t="n">
        <v>80</v>
      </c>
      <c r="C363" t="inlineStr">
        <is>
          <t>C FLUE_KO drum flue temperature</t>
        </is>
      </c>
      <c r="E363" t="inlineStr">
        <is>
          <t>A-M-118</t>
        </is>
      </c>
      <c r="H363" t="inlineStr">
        <is>
          <t>WTR</t>
        </is>
      </c>
      <c r="I363" t="inlineStr">
        <is>
          <t>grey-black-train</t>
        </is>
      </c>
      <c r="J363" t="inlineStr">
        <is>
          <t>san_ko_T_C</t>
        </is>
      </c>
    </row>
    <row r="364">
      <c r="A364" t="inlineStr">
        <is>
          <t>WTR.grey-black-train.san_lhv_ch4_MJ_kg</t>
        </is>
      </c>
      <c r="B364" s="4" t="n">
        <v>50</v>
      </c>
      <c r="C364" t="inlineStr">
        <is>
          <t>MJ/kg CH4 lower heating value</t>
        </is>
      </c>
      <c r="E364" t="inlineStr">
        <is>
          <t>A-M-118 (study)</t>
        </is>
      </c>
      <c r="H364" t="inlineStr">
        <is>
          <t>WTR</t>
        </is>
      </c>
      <c r="I364" t="inlineStr">
        <is>
          <t>grey-black-train</t>
        </is>
      </c>
      <c r="J364" t="inlineStr">
        <is>
          <t>san_lhv_ch4_MJ_kg</t>
        </is>
      </c>
    </row>
    <row r="365">
      <c r="A365" t="inlineStr">
        <is>
          <t>WTR.grey-black-train.san_lhv_vs_MJ_kg</t>
        </is>
      </c>
      <c r="B365" s="4" t="n">
        <v>20</v>
      </c>
      <c r="C365" t="inlineStr">
        <is>
          <t>MJ/kg dry VS heating value (about)</t>
        </is>
      </c>
      <c r="E365" t="inlineStr">
        <is>
          <t>A-M-118 (study)</t>
        </is>
      </c>
      <c r="H365" t="inlineStr">
        <is>
          <t>WTR</t>
        </is>
      </c>
      <c r="I365" t="inlineStr">
        <is>
          <t>grey-black-train</t>
        </is>
      </c>
      <c r="J365" t="inlineStr">
        <is>
          <t>san_lhv_vs_MJ_kg</t>
        </is>
      </c>
    </row>
    <row r="366">
      <c r="A366" t="inlineStr">
        <is>
          <t>WTR.grey-black-train.san_naoh_dose_mol_L</t>
        </is>
      </c>
      <c r="B366" s="4" t="n">
        <v>0.2</v>
      </c>
      <c r="C366" t="inlineStr">
        <is>
          <t>mol/L NaOH dose when the standby alkaline barrier runs</t>
        </is>
      </c>
      <c r="E366" t="inlineStr">
        <is>
          <t>A-M-118 (pH &gt; 12, EPA503 503.32(a)(4))</t>
        </is>
      </c>
      <c r="H366" t="inlineStr">
        <is>
          <t>WTR</t>
        </is>
      </c>
      <c r="I366" t="inlineStr">
        <is>
          <t>grey-black-train</t>
        </is>
      </c>
      <c r="J366" t="inlineStr">
        <is>
          <t>san_naoh_dose_mol_L</t>
        </is>
      </c>
    </row>
    <row r="367">
      <c r="A367" t="inlineStr">
        <is>
          <t>WTR.grey-black-train.san_nox_D_m</t>
        </is>
      </c>
      <c r="B367" s="4" t="n">
        <v>0.1</v>
      </c>
      <c r="C367" t="inlineStr">
        <is>
          <t>m NOX_SCRUB inlet diameter (DN100)</t>
        </is>
      </c>
      <c r="E367" t="inlineStr">
        <is>
          <t>A-M-118</t>
        </is>
      </c>
      <c r="H367" t="inlineStr">
        <is>
          <t>WTR</t>
        </is>
      </c>
      <c r="I367" t="inlineStr">
        <is>
          <t>grey-black-train</t>
        </is>
      </c>
      <c r="J367" t="inlineStr">
        <is>
          <t>san_nox_D_m</t>
        </is>
      </c>
    </row>
    <row r="368">
      <c r="A368" t="inlineStr">
        <is>
          <t>WTR.grey-black-train.san_nox_feed_base_kg_d</t>
        </is>
      </c>
      <c r="B368" s="4" t="n">
        <v>497.918</v>
      </c>
      <c r="C368" t="inlineStr">
        <is>
          <t>kg/d base NOX_SCRUB feed before cake and biogas</t>
        </is>
      </c>
      <c r="E368" t="inlineStr">
        <is>
          <t>AQS-DUTY-063 Rev B (as-used)</t>
        </is>
      </c>
      <c r="H368" t="inlineStr">
        <is>
          <t>WTR</t>
        </is>
      </c>
      <c r="I368" t="inlineStr">
        <is>
          <t>grey-black-train</t>
        </is>
      </c>
      <c r="J368" t="inlineStr">
        <is>
          <t>san_nox_feed_base_kg_d</t>
        </is>
      </c>
    </row>
    <row r="369">
      <c r="A369" t="inlineStr">
        <is>
          <t>WTR.grey-black-train.san_past_aux_kW</t>
        </is>
      </c>
      <c r="B369" s="4" t="n">
        <v>0.01</v>
      </c>
      <c r="C369" t="inlineStr">
        <is>
          <t>kW BLACK_PASTEUR auxiliary</t>
        </is>
      </c>
      <c r="E369" t="inlineStr">
        <is>
          <t>A-M-118</t>
        </is>
      </c>
      <c r="H369" t="inlineStr">
        <is>
          <t>WTR</t>
        </is>
      </c>
      <c r="I369" t="inlineStr">
        <is>
          <t>grey-black-train</t>
        </is>
      </c>
      <c r="J369" t="inlineStr">
        <is>
          <t>san_past_aux_kW</t>
        </is>
      </c>
    </row>
    <row r="370">
      <c r="A370" t="inlineStr">
        <is>
          <t>WTR.grey-black-train.san_past_loss_W</t>
        </is>
      </c>
      <c r="B370" s="4" t="n">
        <v>30</v>
      </c>
      <c r="C370" t="inlineStr">
        <is>
          <t>W pasteuriser hold losses (insulated)</t>
        </is>
      </c>
      <c r="E370" t="inlineStr">
        <is>
          <t>A-M-118</t>
        </is>
      </c>
      <c r="H370" t="inlineStr">
        <is>
          <t>WTR</t>
        </is>
      </c>
      <c r="I370" t="inlineStr">
        <is>
          <t>grey-black-train</t>
        </is>
      </c>
      <c r="J370" t="inlineStr">
        <is>
          <t>san_past_loss_W</t>
        </is>
      </c>
    </row>
    <row r="371">
      <c r="A371" t="inlineStr">
        <is>
          <t>WTR.grey-black-train.san_pp_t_min_mm</t>
        </is>
      </c>
      <c r="B371" s="4" t="n">
        <v>5</v>
      </c>
      <c r="C371" t="inlineStr">
        <is>
          <t>mm PP-H minimum wall (digester vessel)</t>
        </is>
      </c>
      <c r="E371" t="inlineStr">
        <is>
          <t>A-M-118</t>
        </is>
      </c>
      <c r="H371" t="inlineStr">
        <is>
          <t>WTR</t>
        </is>
      </c>
      <c r="I371" t="inlineStr">
        <is>
          <t>grey-black-train</t>
        </is>
      </c>
      <c r="J371" t="inlineStr">
        <is>
          <t>san_pp_t_min_mm</t>
        </is>
      </c>
    </row>
    <row r="372">
      <c r="A372" t="inlineStr">
        <is>
          <t>WTR.grey-black-train.san_press_cool_K</t>
        </is>
      </c>
      <c r="B372" s="4" t="n">
        <v>5</v>
      </c>
      <c r="C372" t="inlineStr">
        <is>
          <t>K centrate cooling across the screw press</t>
        </is>
      </c>
      <c r="E372" t="inlineStr">
        <is>
          <t>A-M-118</t>
        </is>
      </c>
      <c r="H372" t="inlineStr">
        <is>
          <t>WTR</t>
        </is>
      </c>
      <c r="I372" t="inlineStr">
        <is>
          <t>grey-black-train</t>
        </is>
      </c>
      <c r="J372" t="inlineStr">
        <is>
          <t>san_press_cool_K</t>
        </is>
      </c>
    </row>
    <row r="373">
      <c r="A373" t="inlineStr">
        <is>
          <t>WTR.grey-black-train.san_press_kW</t>
        </is>
      </c>
      <c r="B373" s="4" t="n">
        <v>0.09</v>
      </c>
      <c r="C373" t="inlineStr">
        <is>
          <t>kW screw-press motor</t>
        </is>
      </c>
      <c r="E373" t="inlineStr">
        <is>
          <t>A-M-118</t>
        </is>
      </c>
      <c r="H373" t="inlineStr">
        <is>
          <t>WTR</t>
        </is>
      </c>
      <c r="I373" t="inlineStr">
        <is>
          <t>grey-black-train</t>
        </is>
      </c>
      <c r="J373" t="inlineStr">
        <is>
          <t>san_press_kW</t>
        </is>
      </c>
    </row>
    <row r="374">
      <c r="A374" t="inlineStr">
        <is>
          <t>WTR.grey-black-train.san_press_run_h</t>
        </is>
      </c>
      <c r="B374" s="4" t="n">
        <v>2</v>
      </c>
      <c r="C374" t="inlineStr">
        <is>
          <t>h/d screw-press running</t>
        </is>
      </c>
      <c r="E374" t="inlineStr">
        <is>
          <t>A-M-118</t>
        </is>
      </c>
      <c r="H374" t="inlineStr">
        <is>
          <t>WTR</t>
        </is>
      </c>
      <c r="I374" t="inlineStr">
        <is>
          <t>grey-black-train</t>
        </is>
      </c>
      <c r="J374" t="inlineStr">
        <is>
          <t>san_press_run_h</t>
        </is>
      </c>
    </row>
    <row r="375">
      <c r="A375" t="inlineStr">
        <is>
          <t>WTR.grey-black-train.san_s11_kg_d</t>
        </is>
      </c>
      <c r="B375" s="4" t="n">
        <v>0.8</v>
      </c>
      <c r="C375" t="inlineStr">
        <is>
          <t>kg/d S11 grow-bed organics to the afterburner (restored rate)</t>
        </is>
      </c>
      <c r="E375" t="inlineStr">
        <is>
          <t>X-SAN-01 Rev B</t>
        </is>
      </c>
      <c r="H375" t="inlineStr">
        <is>
          <t>WTR</t>
        </is>
      </c>
      <c r="I375" t="inlineStr">
        <is>
          <t>grey-black-train</t>
        </is>
      </c>
      <c r="J375" t="inlineStr">
        <is>
          <t>san_s11_kg_d</t>
        </is>
      </c>
    </row>
    <row r="376">
      <c r="A376" t="inlineStr">
        <is>
          <t>WTR.grey-black-train.san_sigma_HDPE_MPa</t>
        </is>
      </c>
      <c r="B376" s="4" t="n">
        <v>5</v>
      </c>
      <c r="C376" t="inlineStr">
        <is>
          <t>MPa HDPE allowable stress (hold tanks)</t>
        </is>
      </c>
      <c r="E376" t="inlineStr">
        <is>
          <t>A-M-118</t>
        </is>
      </c>
      <c r="H376" t="inlineStr">
        <is>
          <t>WTR</t>
        </is>
      </c>
      <c r="I376" t="inlineStr">
        <is>
          <t>grey-black-train</t>
        </is>
      </c>
      <c r="J376" t="inlineStr">
        <is>
          <t>san_sigma_HDPE_MPa</t>
        </is>
      </c>
    </row>
    <row r="377">
      <c r="A377" t="inlineStr">
        <is>
          <t>WTR.grey-black-train.san_sigma_PP_MPa</t>
        </is>
      </c>
      <c r="B377" s="4" t="n">
        <v>3</v>
      </c>
      <c r="C377" t="inlineStr">
        <is>
          <t>MPa PP-H allowable stress (digester vessel)</t>
        </is>
      </c>
      <c r="E377" t="inlineStr">
        <is>
          <t>A-M-118</t>
        </is>
      </c>
      <c r="H377" t="inlineStr">
        <is>
          <t>WTR</t>
        </is>
      </c>
      <c r="I377" t="inlineStr">
        <is>
          <t>grey-black-train</t>
        </is>
      </c>
      <c r="J377" t="inlineStr">
        <is>
          <t>san_sigma_PP_MPa</t>
        </is>
      </c>
    </row>
    <row r="378">
      <c r="A378" t="inlineStr">
        <is>
          <t>WTR.grey-black-train.san_steel_t_min_mm</t>
        </is>
      </c>
      <c r="B378" s="4" t="n">
        <v>2</v>
      </c>
      <c r="C378" t="inlineStr">
        <is>
          <t>mm 316L minimum wall (pasteuriser)</t>
        </is>
      </c>
      <c r="E378" t="inlineStr">
        <is>
          <t>A-M-118</t>
        </is>
      </c>
      <c r="H378" t="inlineStr">
        <is>
          <t>WTR</t>
        </is>
      </c>
      <c r="I378" t="inlineStr">
        <is>
          <t>grey-black-train</t>
        </is>
      </c>
      <c r="J378" t="inlineStr">
        <is>
          <t>san_steel_t_min_mm</t>
        </is>
      </c>
    </row>
    <row r="379">
      <c r="A379" t="inlineStr">
        <is>
          <t>WTR.grey-black-train.san_vessel_allow_mm</t>
        </is>
      </c>
      <c r="B379" s="4" t="n">
        <v>300</v>
      </c>
      <c r="C379" t="inlineStr">
        <is>
          <t>mm plan allowance past the vessel diameter</t>
        </is>
      </c>
      <c r="E379" t="inlineStr">
        <is>
          <t>A-M-118</t>
        </is>
      </c>
      <c r="H379" t="inlineStr">
        <is>
          <t>WTR</t>
        </is>
      </c>
      <c r="I379" t="inlineStr">
        <is>
          <t>grey-black-train</t>
        </is>
      </c>
      <c r="J379" t="inlineStr">
        <is>
          <t>san_vessel_allow_mm</t>
        </is>
      </c>
    </row>
    <row r="380">
      <c r="A380" t="inlineStr">
        <is>
          <t>WTR.grey-black-train.san_water_cp_kJ_kgK</t>
        </is>
      </c>
      <c r="B380" s="4" t="n">
        <v>4.18</v>
      </c>
      <c r="C380" t="inlineStr">
        <is>
          <t>kJ/(kg K) water cp for feed and liquor heat-up</t>
        </is>
      </c>
      <c r="E380" t="inlineStr">
        <is>
          <t>A-M-118</t>
        </is>
      </c>
      <c r="H380" t="inlineStr">
        <is>
          <t>WTR</t>
        </is>
      </c>
      <c r="I380" t="inlineStr">
        <is>
          <t>grey-black-train</t>
        </is>
      </c>
      <c r="J380" t="inlineStr">
        <is>
          <t>san_water_cp_kJ_kgK</t>
        </is>
      </c>
    </row>
    <row r="381">
      <c r="A381" t="inlineStr">
        <is>
          <t>WTR.potable-upw-train.BMED_UPW_POLISH.ro_eval_T_K</t>
        </is>
      </c>
      <c r="B381" s="4" t="n">
        <v>298.15</v>
      </c>
      <c r="C381" t="inlineStr">
        <is>
          <t>K osmotic-pressure evaluation temperature (25 C)</t>
        </is>
      </c>
      <c r="E381" t="inlineStr">
        <is>
          <t>A-M-176 (X-MFG-34)</t>
        </is>
      </c>
      <c r="H381" t="inlineStr">
        <is>
          <t>WTR</t>
        </is>
      </c>
      <c r="I381" t="inlineStr">
        <is>
          <t>potable-upw-train</t>
        </is>
      </c>
      <c r="J381" t="inlineStr">
        <is>
          <t>BMED_UPW_POLISH</t>
        </is>
      </c>
      <c r="K381" t="inlineStr">
        <is>
          <t>ro_eval_T_K</t>
        </is>
      </c>
    </row>
    <row r="382">
      <c r="A382" t="inlineStr">
        <is>
          <t>WTR.potable-upw-train.BMED_UPW_POLISH.ro_modules</t>
        </is>
      </c>
      <c r="B382" s="4" t="n">
        <v>2</v>
      </c>
      <c r="C382" t="inlineStr">
        <is>
          <t>- flat-sheet RO modules, one standby (redundancy rule)</t>
        </is>
      </c>
      <c r="E382" t="inlineStr">
        <is>
          <t>A-M-176</t>
        </is>
      </c>
      <c r="H382" t="inlineStr">
        <is>
          <t>WTR</t>
        </is>
      </c>
      <c r="I382" t="inlineStr">
        <is>
          <t>potable-upw-train</t>
        </is>
      </c>
      <c r="J382" t="inlineStr">
        <is>
          <t>BMED_UPW_POLISH</t>
        </is>
      </c>
      <c r="K382" t="inlineStr">
        <is>
          <t>ro_modules</t>
        </is>
      </c>
    </row>
    <row r="383">
      <c r="A383" t="inlineStr">
        <is>
          <t>WTR.potable-upw-train.H2O_ELYZ_suction_P_bar</t>
        </is>
      </c>
      <c r="B383" s="4" t="n">
        <v>9</v>
      </c>
      <c r="C383" t="inlineStr">
        <is>
          <t>bar a</t>
        </is>
      </c>
      <c r="E383" t="inlineStr">
        <is>
          <t>A-M-196</t>
        </is>
      </c>
      <c r="H383" t="inlineStr">
        <is>
          <t>WTR</t>
        </is>
      </c>
      <c r="I383" t="inlineStr">
        <is>
          <t>potable-upw-train</t>
        </is>
      </c>
      <c r="J383" t="inlineStr">
        <is>
          <t>H2O_ELYZ_suction_P_bar</t>
        </is>
      </c>
    </row>
    <row r="384">
      <c r="A384" t="inlineStr">
        <is>
          <t>WTR.potable-upw-train.H2O_ELYZ_suction_T_K</t>
        </is>
      </c>
      <c r="B384" s="4" t="n">
        <v>353.15</v>
      </c>
      <c r="C384" t="inlineStr">
        <is>
          <t>K</t>
        </is>
      </c>
      <c r="E384" t="inlineStr">
        <is>
          <t>A-M-196</t>
        </is>
      </c>
      <c r="H384" t="inlineStr">
        <is>
          <t>WTR</t>
        </is>
      </c>
      <c r="I384" t="inlineStr">
        <is>
          <t>potable-upw-train</t>
        </is>
      </c>
      <c r="J384" t="inlineStr">
        <is>
          <t>H2O_ELYZ_suction_T_K</t>
        </is>
      </c>
    </row>
    <row r="385">
      <c r="A385" t="inlineStr">
        <is>
          <t>WTR.potable-upw-train.REMIN.hold_d</t>
        </is>
      </c>
      <c r="B385" s="4" t="n">
        <v>1</v>
      </c>
      <c r="C385" t="inlineStr">
        <is>
          <t>d hold time (A-M-225 basis: resupply interval or batch decoupling)</t>
        </is>
      </c>
      <c r="E385" t="inlineStr">
        <is>
          <t>A-M-225</t>
        </is>
      </c>
      <c r="H385" t="inlineStr">
        <is>
          <t>WTR</t>
        </is>
      </c>
      <c r="I385" t="inlineStr">
        <is>
          <t>potable-upw-train</t>
        </is>
      </c>
      <c r="J385" t="inlineStr">
        <is>
          <t>REMIN</t>
        </is>
      </c>
      <c r="K385" t="inlineStr">
        <is>
          <t>hold_d</t>
        </is>
      </c>
    </row>
    <row r="386">
      <c r="A386" t="inlineStr">
        <is>
          <t>WTR.potable-upw-train.REMIN.rho_kg_m3</t>
        </is>
      </c>
      <c r="B386" s="4" t="n">
        <v>1000</v>
      </c>
      <c r="C386" t="inlineStr">
        <is>
          <t>kg/m3 stored liquid at 20 C</t>
        </is>
      </c>
      <c r="D386" t="inlineStr">
        <is>
          <t>PERRY9</t>
        </is>
      </c>
      <c r="H386" t="inlineStr">
        <is>
          <t>WTR</t>
        </is>
      </c>
      <c r="I386" t="inlineStr">
        <is>
          <t>potable-upw-train</t>
        </is>
      </c>
      <c r="J386" t="inlineStr">
        <is>
          <t>REMIN</t>
        </is>
      </c>
      <c r="K386" t="inlineStr">
        <is>
          <t>rho_kg_m3</t>
        </is>
      </c>
    </row>
    <row r="387">
      <c r="A387" t="inlineStr">
        <is>
          <t>WTR.potable-upw-train.VCD_TRAIN.sec_kWh_m3</t>
        </is>
      </c>
      <c r="B387" s="4" t="n">
        <v>17</v>
      </c>
      <c r="C387" t="inlineStr">
        <is>
          <t>kWh/m3 vapour-compression distillation specific energy (issued 14-20 band midpoint)</t>
        </is>
      </c>
      <c r="E387" t="inlineStr">
        <is>
          <t>A-M-149 (X-RED-05)</t>
        </is>
      </c>
      <c r="H387" t="inlineStr">
        <is>
          <t>WTR</t>
        </is>
      </c>
      <c r="I387" t="inlineStr">
        <is>
          <t>potable-upw-train</t>
        </is>
      </c>
      <c r="J387" t="inlineStr">
        <is>
          <t>VCD_TRAIN</t>
        </is>
      </c>
      <c r="K387" t="inlineStr">
        <is>
          <t>sec_kWh_m3</t>
        </is>
      </c>
    </row>
    <row r="388">
      <c r="A388" t="inlineStr">
        <is>
          <t>acid_conc_design_wt</t>
        </is>
      </c>
      <c r="B388" s="4" t="n">
        <v>0.2</v>
      </c>
      <c r="C388" t="inlineStr">
        <is>
          <t>mass fraction HCl on IA-ACID-01</t>
        </is>
      </c>
      <c r="D388" t="inlineStr">
        <is>
          <t>CARLETON_HCL_2023 38 % HCl; PERRY9_HCL azeotrope 20.2 wt% caps evaporative concentration</t>
        </is>
      </c>
      <c r="E388" t="inlineStr">
        <is>
          <t>X-PAR acid-loop decision (AQS-PAR-001 §Acid loop)</t>
        </is>
      </c>
      <c r="F388" t="b">
        <v>1</v>
      </c>
      <c r="G388" t="inlineStr">
        <is>
          <t>Bench leach of class A feed at 20 wt% HCl, 90-108 C (CARLETON_HCL_2023 basis is 38 %); ICP-OES extraction vs time</t>
        </is>
      </c>
    </row>
    <row r="389">
      <c r="A389" t="inlineStr">
        <is>
          <t>ahu_chiller_COP</t>
        </is>
      </c>
      <c r="B389" s="4" t="n">
        <v>2.96</v>
      </c>
      <c r="C389" t="inlineStr">
        <is>
          <t>-</t>
        </is>
      </c>
      <c r="D389" t="inlineStr">
        <is>
          <t>ASHRAE901_2022</t>
        </is>
      </c>
    </row>
    <row r="390">
      <c r="A390" t="inlineStr">
        <is>
          <t>api2000_C</t>
        </is>
      </c>
      <c r="B390" s="4" t="n">
        <v>6.5</v>
      </c>
      <c r="C390" t="inlineStr">
        <is>
          <t>-</t>
        </is>
      </c>
      <c r="D390" t="inlineStr">
        <is>
          <t>API2000_2020</t>
        </is>
      </c>
    </row>
    <row r="391">
      <c r="A391" t="inlineStr">
        <is>
          <t>api2000_Y</t>
        </is>
      </c>
      <c r="B391" s="4" t="n">
        <v>0.32</v>
      </c>
      <c r="C391" t="inlineStr">
        <is>
          <t>-</t>
        </is>
      </c>
      <c r="D391" t="inlineStr">
        <is>
          <t>API2000_2020</t>
        </is>
      </c>
    </row>
    <row r="392">
      <c r="A392" t="inlineStr">
        <is>
          <t>ash_cop_c</t>
        </is>
      </c>
      <c r="B392" s="4" t="n">
        <v>3.22</v>
      </c>
      <c r="C392" t="inlineStr">
        <is>
          <t>air-source heat pump cooling COP (EER 11.0), &gt;= 19 kW</t>
        </is>
      </c>
      <c r="D392" t="inlineStr">
        <is>
          <t>ASHRAE901_2019_T6812</t>
        </is>
      </c>
      <c r="F392" t="b">
        <v>1</v>
      </c>
      <c r="G392" t="inlineStr">
        <is>
          <t>Selected unit rating</t>
        </is>
      </c>
    </row>
    <row r="393">
      <c r="A393" t="inlineStr">
        <is>
          <t>ash_cop_h</t>
        </is>
      </c>
      <c r="B393" s="4" t="n">
        <v>3.3</v>
      </c>
      <c r="C393" t="inlineStr">
        <is>
          <t>air-source heat pump heating COP at 8.3 C, &gt;= 19 kW</t>
        </is>
      </c>
      <c r="D393" t="inlineStr">
        <is>
          <t>ASHRAE901_2019_T6812</t>
        </is>
      </c>
      <c r="F393" t="b">
        <v>1</v>
      </c>
      <c r="G393" t="inlineStr">
        <is>
          <t>Selected unit rating; low-ambient derate in bin-hour run</t>
        </is>
      </c>
    </row>
    <row r="394">
      <c r="A394" t="inlineStr">
        <is>
          <t>atm_HD</t>
        </is>
      </c>
      <c r="B394" s="4" t="n">
        <v>1.5</v>
      </c>
      <c r="C394" t="inlineStr">
        <is>
          <t>- vertical tank height to diameter for the hold-up case</t>
        </is>
      </c>
      <c r="E394" t="inlineStr">
        <is>
          <t>A-M-182</t>
        </is>
      </c>
    </row>
    <row r="395">
      <c r="A395" t="inlineStr">
        <is>
          <t>atm_bed_depth_m</t>
        </is>
      </c>
      <c r="B395" s="4" t="n">
        <v>0.3</v>
      </c>
      <c r="C395" t="inlineStr">
        <is>
          <t>m standing water in farm beds and habitation fixtures</t>
        </is>
      </c>
      <c r="E395" t="inlineStr">
        <is>
          <t>A-M-182</t>
        </is>
      </c>
    </row>
    <row r="396">
      <c r="A396" t="inlineStr">
        <is>
          <t>atm_design_sg</t>
        </is>
      </c>
      <c r="B396" s="4" t="n">
        <v>1.25</v>
      </c>
      <c r="C396" t="inlineStr">
        <is>
          <t>- liquid specific gravity for the hydrostatic case of atmospheric vessels (covers 20 wt% HCl 1.10 and 20 wt% NaOH 1.22)</t>
        </is>
      </c>
      <c r="E396" t="inlineStr">
        <is>
          <t>A-M-174</t>
        </is>
      </c>
      <c r="F396" t="b">
        <v>1</v>
      </c>
      <c r="G396" t="inlineStr">
        <is>
          <t>Replace with the stored liquid density per unit at its unit sizing task</t>
        </is>
      </c>
    </row>
    <row r="397">
      <c r="A397" t="inlineStr">
        <is>
          <t>atm_hold_d</t>
        </is>
      </c>
      <c r="B397" s="4" t="inlineStr">
        <is>
          <t>{"process":1.0,"store":2.0}</t>
        </is>
      </c>
      <c r="C397" t="inlineStr">
        <is>
          <t>d of liquid inflow held: stores (tank, product, reagent, cut_tank, dock, ROOF_TANK, FAB_UPW_TANK) and process units</t>
        </is>
      </c>
      <c r="E397" t="inlineStr">
        <is>
          <t>A-M-182</t>
        </is>
      </c>
      <c r="F397" t="b">
        <v>1</v>
      </c>
      <c r="G397" t="inlineStr">
        <is>
          <t>Replace with each unit's sized volume at unit task 02</t>
        </is>
      </c>
    </row>
    <row r="398">
      <c r="A398" t="inlineStr">
        <is>
          <t>atom_GMR</t>
        </is>
      </c>
      <c r="B398" s="4" t="n">
        <v>2.5</v>
      </c>
      <c r="C398" t="inlineStr">
        <is>
          <t>kg Ar per kg metal</t>
        </is>
      </c>
      <c r="E398" t="inlineStr">
        <is>
          <t>A-M-177</t>
        </is>
      </c>
      <c r="F398" t="b">
        <v>1</v>
      </c>
      <c r="G398" t="inlineStr">
        <is>
          <t>Trial run on the first article (X-MFG-37)</t>
        </is>
      </c>
    </row>
    <row r="399">
      <c r="A399" t="inlineStr">
        <is>
          <t>atom_P_bar</t>
        </is>
      </c>
      <c r="B399" s="4" t="n">
        <v>30</v>
      </c>
      <c r="C399" t="inlineStr">
        <is>
          <t>bar Ar at the nozzle</t>
        </is>
      </c>
      <c r="E399" t="inlineStr">
        <is>
          <t>A-M-177</t>
        </is>
      </c>
    </row>
    <row r="400">
      <c r="A400" t="inlineStr">
        <is>
          <t>atom_batch_min</t>
        </is>
      </c>
      <c r="B400" s="4" t="n">
        <v>10</v>
      </c>
      <c r="C400" t="inlineStr">
        <is>
          <t>min pour time per heat</t>
        </is>
      </c>
      <c r="E400" t="inlineStr">
        <is>
          <t>A-M-177</t>
        </is>
      </c>
    </row>
    <row r="401">
      <c r="A401" t="inlineStr">
        <is>
          <t>atom_comp_eta</t>
        </is>
      </c>
      <c r="B401" s="4" t="n">
        <v>0.6</v>
      </c>
      <c r="C401" t="inlineStr">
        <is>
          <t>- Ar recirculation compressor, isothermal efficiency</t>
        </is>
      </c>
      <c r="E401" t="inlineStr">
        <is>
          <t>A-M-177</t>
        </is>
      </c>
    </row>
    <row r="402">
      <c r="A402" t="inlineStr">
        <is>
          <t>atom_tundish_kW</t>
        </is>
      </c>
      <c r="B402" s="4" t="n">
        <v>1</v>
      </c>
      <c r="C402" t="inlineStr">
        <is>
          <t>kW tundish heater for 1 h per heat</t>
        </is>
      </c>
      <c r="E402" t="inlineStr">
        <is>
          <t>A-M-177</t>
        </is>
      </c>
    </row>
    <row r="403">
      <c r="A403" t="inlineStr">
        <is>
          <t>atomizer_offspec_frac</t>
        </is>
      </c>
      <c r="B403" s="4" t="n">
        <v>0.1</v>
      </c>
      <c r="C403" t="inlineStr">
        <is>
          <t>-</t>
        </is>
      </c>
      <c r="E403" t="inlineStr">
        <is>
          <t>A-M-139</t>
        </is>
      </c>
      <c r="F403" t="b">
        <v>1</v>
      </c>
      <c r="G403" t="inlineStr">
        <is>
          <t>see A-M-139</t>
        </is>
      </c>
    </row>
    <row r="404">
      <c r="A404" t="inlineStr">
        <is>
          <t>backup_gen_rated_kW</t>
        </is>
      </c>
      <c r="B404" s="4" t="n">
        <v>40</v>
      </c>
      <c r="C404" t="inlineStr">
        <is>
          <t>kW</t>
        </is>
      </c>
      <c r="D404" t="inlineStr">
        <is>
          <t>NFPA110_2022</t>
        </is>
      </c>
      <c r="F404" t="b">
        <v>1</v>
      </c>
      <c r="G404" t="inlineStr">
        <is>
          <t>Critical-load list confirmation at unit task 02 completion; acceptance load test per NFPA 110 8.4.9 at 4 h</t>
        </is>
      </c>
    </row>
    <row r="405">
      <c r="A405" t="inlineStr">
        <is>
          <t>base_bays_x</t>
        </is>
      </c>
      <c r="B405" s="4" t="n">
        <v>4</v>
      </c>
      <c r="C405" t="inlineStr">
        <is>
          <t>bays</t>
        </is>
      </c>
      <c r="E405" t="inlineStr">
        <is>
          <t>params.py</t>
        </is>
      </c>
      <c r="F405" t="b">
        <v>1</v>
      </c>
      <c r="G405" t="inlineStr">
        <is>
          <t>Structural grid review</t>
        </is>
      </c>
    </row>
    <row r="406">
      <c r="A406" t="inlineStr">
        <is>
          <t>base_bays_y</t>
        </is>
      </c>
      <c r="B406" s="4" t="n">
        <v>3</v>
      </c>
      <c r="C406" t="inlineStr">
        <is>
          <t>bays</t>
        </is>
      </c>
      <c r="E406" t="inlineStr">
        <is>
          <t>params.py</t>
        </is>
      </c>
      <c r="F406" t="b">
        <v>1</v>
      </c>
      <c r="G406" t="inlineStr">
        <is>
          <t>Structural grid review</t>
        </is>
      </c>
    </row>
    <row r="407">
      <c r="A407" t="inlineStr">
        <is>
          <t>base_conc_design_wt</t>
        </is>
      </c>
      <c r="B407" s="4" t="n">
        <v>0.2</v>
      </c>
      <c r="C407" t="inlineStr">
        <is>
          <t>mass fraction NaOH on IA-BASE-01 and IA-BASE-PPT</t>
        </is>
      </c>
      <c r="D407" t="inlineStr">
        <is>
          <t>Matches the acid side; no azeotrope limit on NaOH-water</t>
        </is>
      </c>
      <c r="E407" t="inlineStr">
        <is>
          <t>X-PAR acid-loop decision (AQS-PAR-001 §Acid loop)</t>
        </is>
      </c>
      <c r="F407" t="b">
        <v>1</v>
      </c>
      <c r="G407" t="inlineStr">
        <is>
          <t>Bench hydroxide precipitation of class A leach liquor with 20 wt% NaOH; glass digest at 20 wt%</t>
        </is>
      </c>
    </row>
    <row r="408">
      <c r="A408" t="inlineStr">
        <is>
          <t>bay_mm</t>
        </is>
      </c>
      <c r="B408" s="4" t="n">
        <v>6000</v>
      </c>
      <c r="C408" t="inlineStr">
        <is>
          <t>mm structural bay</t>
        </is>
      </c>
      <c r="E408" t="inlineStr">
        <is>
          <t>params.py BAY</t>
        </is>
      </c>
      <c r="F408" t="b">
        <v>1</v>
      </c>
      <c r="G408" t="inlineStr">
        <is>
          <t>Structural grid review</t>
        </is>
      </c>
    </row>
    <row r="409">
      <c r="A409" t="inlineStr">
        <is>
          <t>bed_DLI</t>
        </is>
      </c>
      <c r="B409" s="4" t="n">
        <v>17</v>
      </c>
      <c r="C409" t="inlineStr">
        <is>
          <t>mol/m2/d</t>
        </is>
      </c>
      <c r="E409" t="inlineStr">
        <is>
          <t>A-M-133</t>
        </is>
      </c>
      <c r="F409" t="b">
        <v>1</v>
      </c>
      <c r="G409" t="inlineStr">
        <is>
          <t>see A-M-133</t>
        </is>
      </c>
    </row>
    <row r="410">
      <c r="A410" t="inlineStr">
        <is>
          <t>bed_absorptance</t>
        </is>
      </c>
      <c r="B410" s="4" t="n">
        <v>0.9</v>
      </c>
      <c r="C410" t="inlineStr">
        <is>
          <t>-</t>
        </is>
      </c>
      <c r="E410" t="inlineStr">
        <is>
          <t>A-M-133</t>
        </is>
      </c>
      <c r="F410" t="b">
        <v>1</v>
      </c>
      <c r="G410" t="inlineStr">
        <is>
          <t>see A-M-133</t>
        </is>
      </c>
    </row>
    <row r="411">
      <c r="A411" t="inlineStr">
        <is>
          <t>bed_quantum_yield</t>
        </is>
      </c>
      <c r="B411" s="4" t="n">
        <v>0.045</v>
      </c>
      <c r="C411" t="inlineStr">
        <is>
          <t>mol CO2/mol photon</t>
        </is>
      </c>
      <c r="E411" t="inlineStr">
        <is>
          <t>A-M-133</t>
        </is>
      </c>
      <c r="F411" t="b">
        <v>1</v>
      </c>
      <c r="G411" t="inlineStr">
        <is>
          <t>see A-M-133</t>
        </is>
      </c>
    </row>
    <row r="412">
      <c r="A412" t="inlineStr">
        <is>
          <t>bmed_CE</t>
        </is>
      </c>
      <c r="B412" s="4" t="n">
        <v>0.8</v>
      </c>
      <c r="C412" t="inlineStr">
        <is>
          <t>current efficiency at 200 A/m2</t>
        </is>
      </c>
      <c r="D412" t="inlineStr">
        <is>
          <t>EDBM_PILOT_2023</t>
        </is>
      </c>
    </row>
    <row r="413">
      <c r="A413" t="inlineStr">
        <is>
          <t>bmed_R_mono_ohm_cm2</t>
        </is>
      </c>
      <c r="B413" s="4" t="n">
        <v>3</v>
      </c>
      <c r="C413" t="inlineStr">
        <is>
          <t>ohm cm2 per monopolar membrane</t>
        </is>
      </c>
      <c r="D413" t="inlineStr">
        <is>
          <t>STRATHMANN2004</t>
        </is>
      </c>
      <c r="F413" t="b">
        <v>1</v>
      </c>
      <c r="G413" t="inlineStr">
        <is>
          <t>Membrane area resistance by EIS in plant brine (X-MFG-35)</t>
        </is>
      </c>
    </row>
    <row r="414">
      <c r="A414" t="inlineStr">
        <is>
          <t>bmed_V_bpm_V</t>
        </is>
      </c>
      <c r="B414" s="4" t="n">
        <v>1</v>
      </c>
      <c r="C414" t="inlineStr">
        <is>
          <t>V per bipolar membrane at 200 A/m2 (reversible 0.83 V plus overpotential)</t>
        </is>
      </c>
      <c r="D414" t="inlineStr">
        <is>
          <t>STRATHMANN2004</t>
        </is>
      </c>
      <c r="F414" t="b">
        <v>1</v>
      </c>
      <c r="G414" t="inlineStr">
        <is>
          <t>Bipolar membrane I-V curve on the first-article stack (X-MFG-35)</t>
        </is>
      </c>
    </row>
    <row r="415">
      <c r="A415" t="inlineStr">
        <is>
          <t>bmed_V_end_per_stack_V</t>
        </is>
      </c>
      <c r="B415" s="4" t="n">
        <v>3</v>
      </c>
      <c r="C415" t="inlineStr">
        <is>
          <t>V per stack for the end electrode pair (O2/H2 rinse cell)</t>
        </is>
      </c>
      <c r="E415" t="inlineStr">
        <is>
          <t>A-M-171</t>
        </is>
      </c>
      <c r="F415" t="b">
        <v>1</v>
      </c>
      <c r="G415" t="inlineStr">
        <is>
          <t>Stack voltage minus sum of triplet voltages (X-MFG-35)</t>
        </is>
      </c>
    </row>
    <row r="416">
      <c r="A416" t="inlineStr">
        <is>
          <t>bmed_cell_area_m2</t>
        </is>
      </c>
      <c r="B416" s="4" t="n">
        <v>0.04</v>
      </c>
      <c r="C416" t="inlineStr">
        <is>
          <t>m2 active area per membrane (200 x 200 mm)</t>
        </is>
      </c>
      <c r="E416" t="inlineStr">
        <is>
          <t>A-M-170 (X-MFG-35 BMED stack)</t>
        </is>
      </c>
      <c r="F416" t="b">
        <v>1</v>
      </c>
      <c r="G416" t="inlineStr">
        <is>
          <t>stack polarisation test on the first-article stack</t>
        </is>
      </c>
    </row>
    <row r="417">
      <c r="A417" t="inlineStr">
        <is>
          <t>bmed_cells_per_stack_max</t>
        </is>
      </c>
      <c r="B417" s="4" t="n">
        <v>100</v>
      </c>
      <c r="C417" t="inlineStr">
        <is>
          <t>cell triplets per stack (manifold flow distribution)</t>
        </is>
      </c>
      <c r="E417" t="inlineStr">
        <is>
          <t>A-M-170 (X-MFG-35 BMED stack)</t>
        </is>
      </c>
      <c r="F417" t="b">
        <v>1</v>
      </c>
      <c r="G417" t="inlineStr">
        <is>
          <t>same test: per-cell voltage spread</t>
        </is>
      </c>
    </row>
    <row r="418">
      <c r="A418" t="inlineStr">
        <is>
          <t>bmed_j_A_m2</t>
        </is>
      </c>
      <c r="B418" s="4" t="n">
        <v>200</v>
      </c>
      <c r="C418" t="inlineStr">
        <is>
          <t>A/m2 design current density</t>
        </is>
      </c>
      <c r="D418" t="inlineStr">
        <is>
          <t>EDBM_PILOT_2023</t>
        </is>
      </c>
    </row>
    <row r="419">
      <c r="A419" t="inlineStr">
        <is>
          <t>bmed_kappa_S_cm</t>
        </is>
      </c>
      <c r="B419" s="4" t="inlineStr">
        <is>
          <t>{"acid":0.5,"base":0.29,"salt":0.045}</t>
        </is>
      </c>
      <c r="C419" t="inlineStr">
        <is>
          <t>S/cm: salt about 3 % NaCl depleted, base 2 M (7.4 %) NaOH, acid 2 M (7 %) HCl, interpolated</t>
        </is>
      </c>
      <c r="D419" t="inlineStr">
        <is>
          <t>CRC_COND</t>
        </is>
      </c>
    </row>
    <row r="420">
      <c r="A420" t="inlineStr">
        <is>
          <t>bmed_product_molarity</t>
        </is>
      </c>
      <c r="B420" s="4" t="n">
        <v>2</v>
      </c>
      <c r="C420" t="inlineStr">
        <is>
          <t>mol/L acid and base leaving BMED</t>
        </is>
      </c>
      <c r="D420" t="inlineStr">
        <is>
          <t>EDBM_WHEY_2021</t>
        </is>
      </c>
      <c r="F420" t="b">
        <v>1</v>
      </c>
      <c r="G420" t="inlineStr">
        <is>
          <t>EDBM pilot on the plant chloride brine at 2 M product: SEC and current efficiency</t>
        </is>
      </c>
    </row>
    <row r="421">
      <c r="A421" t="inlineStr">
        <is>
          <t>bmed_product_wt_acid</t>
        </is>
      </c>
      <c r="B421" s="4" t="n">
        <v>0.0707</v>
      </c>
      <c r="C421" t="inlineStr">
        <is>
          <t>mass fraction HCl at 2 M</t>
        </is>
      </c>
      <c r="D421" t="inlineStr">
        <is>
          <t>PERRY9_HCL</t>
        </is>
      </c>
    </row>
    <row r="422">
      <c r="A422" t="inlineStr">
        <is>
          <t>bmed_product_wt_base</t>
        </is>
      </c>
      <c r="B422" s="4" t="n">
        <v>0.0741</v>
      </c>
      <c r="C422" t="inlineStr">
        <is>
          <t>mass fraction NaOH at 2 M</t>
        </is>
      </c>
      <c r="D422" t="inlineStr">
        <is>
          <t>PERRY9_HCL</t>
        </is>
      </c>
    </row>
    <row r="423">
      <c r="A423" t="inlineStr">
        <is>
          <t>bmed_sec_design_kWh_per_kg_pair</t>
        </is>
      </c>
      <c r="B423" s="4" t="n">
        <v>2.1</v>
      </c>
      <c r="C423" t="inlineStr">
        <is>
          <t>kWh per kg acid+base (current graph basis)</t>
        </is>
      </c>
      <c r="D423" t="inlineStr">
        <is>
          <t>EDBM_PILOT_2023 1.4-2.6 kWh/kg NaOH at 0.5-1 M; EDBM_WHEY_2021 6.7 kWh/kg at 2 M</t>
        </is>
      </c>
      <c r="E423" t="inlineStr">
        <is>
          <t>graph BMED_ACID continuous_kw (X-RSZ-01)</t>
        </is>
      </c>
      <c r="F423" t="b">
        <v>1</v>
      </c>
      <c r="G423" t="inlineStr">
        <is>
          <t>Superseded: BMED energy now from bmed_sec_kWh_per_kg_base (X-PAR acid-loop decision)</t>
        </is>
      </c>
    </row>
    <row r="424">
      <c r="A424" t="inlineStr">
        <is>
          <t>bmed_sec_kWh_per_kg_base</t>
        </is>
      </c>
      <c r="B424" s="4" t="n">
        <v>6.7</v>
      </c>
      <c r="C424" t="inlineStr">
        <is>
          <t>kWh/kg NaOH at 2 M product</t>
        </is>
      </c>
      <c r="D424" t="inlineStr">
        <is>
          <t>EDBM_WHEY_2021</t>
        </is>
      </c>
      <c r="F424" t="b">
        <v>1</v>
      </c>
      <c r="G424" t="inlineStr">
        <is>
          <t>EDBM pilot on the plant chloride brine: SEC and current efficiency at the design product concentration</t>
        </is>
      </c>
    </row>
    <row r="425">
      <c r="A425" t="inlineStr">
        <is>
          <t>bmed_sec_pilot_kWh_kg</t>
        </is>
      </c>
      <c r="B425" s="4" t="n">
        <v>1.4</v>
      </c>
      <c r="C425" t="inlineStr">
        <is>
          <t>kWh/kg NaOH at 200 A/m2, CE 0.80</t>
        </is>
      </c>
      <c r="D425" t="inlineStr">
        <is>
          <t>EDBM_PILOT_2023</t>
        </is>
      </c>
    </row>
    <row r="426">
      <c r="A426" t="inlineStr">
        <is>
          <t>bmed_spacer_mm</t>
        </is>
      </c>
      <c r="B426" s="4" t="n">
        <v>0.8</v>
      </c>
      <c r="C426" t="inlineStr">
        <is>
          <t>mm compartment gap</t>
        </is>
      </c>
      <c r="E426" t="inlineStr">
        <is>
          <t>A-M-170</t>
        </is>
      </c>
    </row>
    <row r="427">
      <c r="A427" t="inlineStr">
        <is>
          <t>bmed_spacer_shadow</t>
        </is>
      </c>
      <c r="B427" s="4" t="n">
        <v>1.5</v>
      </c>
      <c r="C427" t="inlineStr">
        <is>
          <t>- solution resistance multiplier for a woven mesh spacer</t>
        </is>
      </c>
      <c r="E427" t="inlineStr">
        <is>
          <t>A-M-171</t>
        </is>
      </c>
      <c r="F427" t="b">
        <v>1</v>
      </c>
      <c r="G427" t="inlineStr">
        <is>
          <t>Stack ohmic resistance at three flow rates (X-MFG-35)</t>
        </is>
      </c>
    </row>
    <row r="428">
      <c r="A428" t="inlineStr">
        <is>
          <t>bus_power_factor</t>
        </is>
      </c>
      <c r="B428" s="4" t="n">
        <v>0.9</v>
      </c>
      <c r="C428" t="inlineStr">
        <is>
          <t>-</t>
        </is>
      </c>
      <c r="E428" t="inlineStr">
        <is>
          <t>AQS-ELEC-002 PF (study)</t>
        </is>
      </c>
      <c r="F428" t="b">
        <v>1</v>
      </c>
      <c r="G428" t="inlineStr">
        <is>
          <t>Measured power factor on the 480 V bus</t>
        </is>
      </c>
    </row>
    <row r="429">
      <c r="A429" t="inlineStr">
        <is>
          <t>bvad_tomato_CO2_g_m2_d</t>
        </is>
      </c>
      <c r="B429" s="4" t="n">
        <v>36.24</v>
      </c>
      <c r="C429" t="inlineStr">
        <is>
          <t>g/m2/d</t>
        </is>
      </c>
      <c r="D429" t="inlineStr">
        <is>
          <t>BVAD2022</t>
        </is>
      </c>
    </row>
    <row r="430">
      <c r="A430" t="inlineStr">
        <is>
          <t>bvad_tomato_C_frac</t>
        </is>
      </c>
      <c r="B430" s="4" t="n">
        <v>0.43</v>
      </c>
      <c r="C430" t="inlineStr">
        <is>
          <t>-</t>
        </is>
      </c>
      <c r="D430" t="inlineStr">
        <is>
          <t>BVAD2022</t>
        </is>
      </c>
    </row>
    <row r="431">
      <c r="A431" t="inlineStr">
        <is>
          <t>bvad_tomato_HI</t>
        </is>
      </c>
      <c r="B431" s="4" t="n">
        <v>0.45</v>
      </c>
      <c r="C431" t="inlineStr">
        <is>
          <t>-</t>
        </is>
      </c>
      <c r="D431" t="inlineStr">
        <is>
          <t>BVAD2022</t>
        </is>
      </c>
    </row>
    <row r="432">
      <c r="A432" t="inlineStr">
        <is>
          <t>bvad_tomato_T_kg_m2_d</t>
        </is>
      </c>
      <c r="B432" s="4" t="n">
        <v>2.77</v>
      </c>
      <c r="C432" t="inlineStr">
        <is>
          <t>kg/m2/d</t>
        </is>
      </c>
      <c r="D432" t="inlineStr">
        <is>
          <t>BVAD2022</t>
        </is>
      </c>
    </row>
    <row r="433">
      <c r="A433" t="inlineStr">
        <is>
          <t>bvad_tomato_tM_d</t>
        </is>
      </c>
      <c r="B433" s="4" t="n">
        <v>80</v>
      </c>
      <c r="C433" t="inlineStr">
        <is>
          <t>d</t>
        </is>
      </c>
      <c r="D433" t="inlineStr">
        <is>
          <t>BVAD2022</t>
        </is>
      </c>
    </row>
    <row r="434">
      <c r="A434" t="inlineStr">
        <is>
          <t>case_A_leach_extent</t>
        </is>
      </c>
      <c r="B434" s="4" t="n">
        <v>1</v>
      </c>
      <c r="C434" t="inlineStr">
        <is>
          <t>fraction of listed oxides dissolved</t>
        </is>
      </c>
      <c r="E434" t="inlineStr">
        <is>
          <t>A-M (X-BAS-02 full-leach bound)</t>
        </is>
      </c>
      <c r="F434" t="b">
        <v>1</v>
      </c>
      <c r="G434" t="inlineStr">
        <is>
          <t>Bench leach of class A feed in HCl at 85 C, ICP-OES of liquor for Al, Ca, Mg, Fe extraction</t>
        </is>
      </c>
    </row>
    <row r="435">
      <c r="A435" t="inlineStr">
        <is>
          <t>case_A_oxide_fractions</t>
        </is>
      </c>
      <c r="B435" s="4" t="inlineStr">
        <is>
          <t>{"Al2O3":0.19,"CaO":0.125,"FeO":0.13,"MgO":0.09}</t>
        </is>
      </c>
      <c r="C435" t="inlineStr">
        <is>
          <t>mass fraction of silicate_oxide</t>
        </is>
      </c>
      <c r="D435" t="inlineStr">
        <is>
          <t>LUNAR_SOURCEBOOK</t>
        </is>
      </c>
      <c r="F435" t="b">
        <v>1</v>
      </c>
      <c r="G435" t="inlineStr">
        <is>
          <t>XRF major-oxide analysis of the accepted feed</t>
        </is>
      </c>
    </row>
    <row r="436">
      <c r="A436" t="inlineStr">
        <is>
          <t>cb_13x_CO2_mol_kg</t>
        </is>
      </c>
      <c r="B436" s="4" t="n">
        <v>1.5</v>
      </c>
      <c r="C436" t="inlineStr">
        <is>
          <t>mol CO2 per kg 13X working capacity at about 6.6 kPa CO2, 25 C adsorb / 200 C regenerate</t>
        </is>
      </c>
      <c r="E436" t="inlineStr">
        <is>
          <t>A-M-175</t>
        </is>
      </c>
      <c r="F436" t="b">
        <v>1</v>
      </c>
      <c r="G436" t="inlineStr">
        <is>
          <t>Breakthrough test of one 13X bed on the scrubbed flue gas (X-MFG-33)</t>
        </is>
      </c>
    </row>
    <row r="437">
      <c r="A437" t="inlineStr">
        <is>
          <t>cb_T_out_max_C</t>
        </is>
      </c>
      <c r="B437" s="4" t="n">
        <v>150</v>
      </c>
      <c r="C437" t="inlineStr">
        <is>
          <t>C predicted stage discharge, general service</t>
        </is>
      </c>
      <c r="D437" t="inlineStr">
        <is>
          <t>API618</t>
        </is>
      </c>
    </row>
    <row r="438">
      <c r="A438" t="inlineStr">
        <is>
          <t>cb_bed_dP_kPa</t>
        </is>
      </c>
      <c r="B438" s="4" t="n">
        <v>10</v>
      </c>
      <c r="C438" t="inlineStr">
        <is>
          <t>kPa feed blower rise</t>
        </is>
      </c>
      <c r="E438" t="inlineStr">
        <is>
          <t>A-M-175</t>
        </is>
      </c>
    </row>
    <row r="439">
      <c r="A439" t="inlineStr">
        <is>
          <t>cb_chiller_COP</t>
        </is>
      </c>
      <c r="B439" s="4" t="n">
        <v>2.5</v>
      </c>
      <c r="C439" t="inlineStr">
        <is>
          <t>- condenser chiller at -25 C evaporating</t>
        </is>
      </c>
      <c r="E439" t="inlineStr">
        <is>
          <t>A-M-175</t>
        </is>
      </c>
      <c r="F439" t="b">
        <v>1</v>
      </c>
      <c r="G439" t="inlineStr">
        <is>
          <t>Chiller COP on the first article</t>
        </is>
      </c>
    </row>
    <row r="440">
      <c r="A440" t="inlineStr">
        <is>
          <t>cb_co2_latent_kJ_kg</t>
        </is>
      </c>
      <c r="B440" s="4" t="n">
        <v>282</v>
      </c>
      <c r="C440" t="inlineStr">
        <is>
          <t>kJ/kg CO2 latent heat at -20 C</t>
        </is>
      </c>
      <c r="D440" t="inlineStr">
        <is>
          <t>NIST_WEBBOOK</t>
        </is>
      </c>
    </row>
    <row r="441">
      <c r="A441" t="inlineStr">
        <is>
          <t>cb_co2_store_bar</t>
        </is>
      </c>
      <c r="B441" s="4" t="n">
        <v>20</v>
      </c>
      <c r="C441" t="inlineStr">
        <is>
          <t>bar a liquid CO2 store at -20 C (saturation 19.7 bar)</t>
        </is>
      </c>
      <c r="D441" t="inlineStr">
        <is>
          <t>NIST_WEBBOOK</t>
        </is>
      </c>
    </row>
    <row r="442">
      <c r="A442" t="inlineStr">
        <is>
          <t>cb_cp_sorbent_kJ_kgK</t>
        </is>
      </c>
      <c r="B442" s="4" t="n">
        <v>0.92</v>
      </c>
      <c r="C442" t="inlineStr">
        <is>
          <t>kJ/kg K zeolite</t>
        </is>
      </c>
      <c r="E442" t="inlineStr">
        <is>
          <t>A-M-175</t>
        </is>
      </c>
    </row>
    <row r="443">
      <c r="A443" t="inlineStr">
        <is>
          <t>cb_cycle_h</t>
        </is>
      </c>
      <c r="B443" s="4" t="n">
        <v>8</v>
      </c>
      <c r="C443" t="inlineStr">
        <is>
          <t>h adsorption half-cycle</t>
        </is>
      </c>
      <c r="E443" t="inlineStr">
        <is>
          <t>A-M-175</t>
        </is>
      </c>
    </row>
    <row r="444">
      <c r="A444" t="inlineStr">
        <is>
          <t>cb_dH_ads_kJ_mol</t>
        </is>
      </c>
      <c r="B444" s="4" t="n">
        <v>36</v>
      </c>
      <c r="C444" t="inlineStr">
        <is>
          <t>kJ/mol CO2 on 13X</t>
        </is>
      </c>
      <c r="E444" t="inlineStr">
        <is>
          <t>A-M-175</t>
        </is>
      </c>
      <c r="F444" t="b">
        <v>1</v>
      </c>
      <c r="G444" t="inlineStr">
        <is>
          <t>Regeneration energy measured on the first bed (X-MFG-33)</t>
        </is>
      </c>
    </row>
    <row r="445">
      <c r="A445" t="inlineStr">
        <is>
          <t>cb_getter_W</t>
        </is>
      </c>
      <c r="B445" s="4" t="n">
        <v>100</v>
      </c>
      <c r="C445" t="inlineStr">
        <is>
          <t>W heated Ar getter (Ar return from WAFER_FAB)</t>
        </is>
      </c>
      <c r="E445" t="inlineStr">
        <is>
          <t>A-M-175</t>
        </is>
      </c>
      <c r="F445" t="b">
        <v>1</v>
      </c>
      <c r="G445" t="inlineStr">
        <is>
          <t>Getter heater power at temperature</t>
        </is>
      </c>
    </row>
    <row r="446">
      <c r="A446" t="inlineStr">
        <is>
          <t>cb_regen_C</t>
        </is>
      </c>
      <c r="B446" s="4" t="n">
        <v>204</v>
      </c>
      <c r="C446" t="inlineStr">
        <is>
          <t>C bed regeneration</t>
        </is>
      </c>
      <c r="D446" t="inlineStr">
        <is>
          <t>NASA_CDRA2015</t>
        </is>
      </c>
    </row>
    <row r="447">
      <c r="A447" t="inlineStr">
        <is>
          <t>cb_regen_loss_frac</t>
        </is>
      </c>
      <c r="B447" s="4" t="n">
        <v>0.2</v>
      </c>
      <c r="C447" t="inlineStr">
        <is>
          <t>- regeneration heat lost through insulation</t>
        </is>
      </c>
      <c r="E447" t="inlineStr">
        <is>
          <t>A-M-175</t>
        </is>
      </c>
    </row>
    <row r="448">
      <c r="A448" t="inlineStr">
        <is>
          <t>cb_steel_to_sorbent</t>
        </is>
      </c>
      <c r="B448" s="4" t="n">
        <v>1</v>
      </c>
      <c r="C448" t="inlineStr">
        <is>
          <t>kg vessel and heater steel heated per kg sorbent</t>
        </is>
      </c>
      <c r="E448" t="inlineStr">
        <is>
          <t>A-M-175</t>
        </is>
      </c>
    </row>
    <row r="449">
      <c r="A449" t="inlineStr">
        <is>
          <t>co2_fill</t>
        </is>
      </c>
      <c r="B449" s="4" t="n">
        <v>0.9</v>
      </c>
      <c r="C449" t="inlineStr">
        <is>
          <t>- maximum liquid fill</t>
        </is>
      </c>
      <c r="E449" t="inlineStr">
        <is>
          <t>A-M-181</t>
        </is>
      </c>
    </row>
    <row r="450">
      <c r="A450" t="inlineStr">
        <is>
          <t>co2_liq_rho_kg_m3</t>
        </is>
      </c>
      <c r="B450" s="4" t="n">
        <v>1032</v>
      </c>
      <c r="C450" t="inlineStr">
        <is>
          <t>kg/m3 liquid CO2 at -20 C</t>
        </is>
      </c>
      <c r="D450" t="inlineStr">
        <is>
          <t>NIST_WEBBOOK</t>
        </is>
      </c>
    </row>
    <row r="451">
      <c r="A451" t="inlineStr">
        <is>
          <t>co2_store_hold_d</t>
        </is>
      </c>
      <c r="B451" s="4" t="n">
        <v>2</v>
      </c>
      <c r="C451" t="inlineStr">
        <is>
          <t>d of CRYO_CO2 inflow held as liquid</t>
        </is>
      </c>
      <c r="E451" t="inlineStr">
        <is>
          <t>A-M-181</t>
        </is>
      </c>
    </row>
    <row r="452">
      <c r="A452" t="inlineStr">
        <is>
          <t>combustion_excess_O2</t>
        </is>
      </c>
      <c r="B452" s="4" t="n">
        <v>1.1</v>
      </c>
      <c r="C452" t="inlineStr">
        <is>
          <t>-</t>
        </is>
      </c>
      <c r="E452" t="inlineStr">
        <is>
          <t>A-M-133</t>
        </is>
      </c>
      <c r="F452" t="b">
        <v>1</v>
      </c>
      <c r="G452" t="inlineStr">
        <is>
          <t>see A-M-133</t>
        </is>
      </c>
    </row>
    <row r="453">
      <c r="A453" t="inlineStr">
        <is>
          <t>continuous_load_factor</t>
        </is>
      </c>
      <c r="B453" s="4" t="n">
        <v>1.25</v>
      </c>
      <c r="C453" t="inlineStr">
        <is>
          <t>-</t>
        </is>
      </c>
      <c r="D453" t="inlineStr">
        <is>
          <t>NEC2023</t>
        </is>
      </c>
    </row>
    <row r="454">
      <c r="A454" t="inlineStr">
        <is>
          <t>cp_hcl20_kJ_kgK</t>
        </is>
      </c>
      <c r="B454" s="4" t="n">
        <v>3</v>
      </c>
      <c r="C454" t="inlineStr">
        <is>
          <t>kJ/(kg K)</t>
        </is>
      </c>
      <c r="D454" t="inlineStr">
        <is>
          <t>PERRY9</t>
        </is>
      </c>
      <c r="F454" t="b">
        <v>1</v>
      </c>
      <c r="G454" t="inlineStr">
        <is>
          <t>Check against the Perry sec. 2 aqueous HCl heat-capacity table at 20 wt% and 60 C</t>
        </is>
      </c>
    </row>
    <row r="455">
      <c r="A455" t="inlineStr">
        <is>
          <t>cp_naoh20_kJ_kgK</t>
        </is>
      </c>
      <c r="B455" s="4" t="n">
        <v>3.6</v>
      </c>
      <c r="C455" t="inlineStr">
        <is>
          <t>kJ/(kg K)</t>
        </is>
      </c>
      <c r="D455" t="inlineStr">
        <is>
          <t>PERRY9</t>
        </is>
      </c>
      <c r="F455" t="b">
        <v>1</v>
      </c>
      <c r="G455" t="inlineStr">
        <is>
          <t>Check against the Perry sec. 2 aqueous NaOH heat-capacity table at 20 wt% and 60 C</t>
        </is>
      </c>
    </row>
    <row r="456">
      <c r="A456" t="inlineStr">
        <is>
          <t>crit_autonomy_d</t>
        </is>
      </c>
      <c r="B456" s="4" t="n">
        <v>2</v>
      </c>
      <c r="C456" t="inlineStr">
        <is>
          <t>d of critical-load autonomy without sun</t>
        </is>
      </c>
      <c r="E456" t="inlineStr">
        <is>
          <t>AQS-ELEC-007 AUT_CRIT (single governed source, D7 unification 2026-10-18); read by docs-authority/_power_sizing.py and flow_graph/param/o2_close.py (was AUT_CRIT / PSH_STORE_D 2.0 in two homes)</t>
        </is>
      </c>
      <c r="F456" t="b">
        <v>1</v>
      </c>
      <c r="G456" t="inlineStr">
        <is>
          <t>Owner outage-basis decision: NFPA 110/111 class vs the PV cloudy-day statistics of the site (AQS-SITE-002 NSRDB run)</t>
        </is>
      </c>
    </row>
    <row r="457">
      <c r="A457" t="inlineStr">
        <is>
          <t>cu_flow_stress_MPa</t>
        </is>
      </c>
      <c r="B457" s="4" t="n">
        <v>250</v>
      </c>
      <c r="C457" t="inlineStr">
        <is>
          <t>MPa mean flow stress, Cu cold work</t>
        </is>
      </c>
      <c r="E457" t="inlineStr">
        <is>
          <t>A-M-177</t>
        </is>
      </c>
      <c r="F457" t="b">
        <v>1</v>
      </c>
      <c r="G457" t="inlineStr">
        <is>
          <t>Trial run on the first article (X-MFG-37)</t>
        </is>
      </c>
    </row>
    <row r="458">
      <c r="A458" t="inlineStr">
        <is>
          <t>deform_eta</t>
        </is>
      </c>
      <c r="B458" s="4" t="n">
        <v>0.55</v>
      </c>
      <c r="C458" t="inlineStr">
        <is>
          <t>- rolling and drawing efficiency</t>
        </is>
      </c>
      <c r="D458" t="inlineStr">
        <is>
          <t>DIETER1988</t>
        </is>
      </c>
    </row>
    <row r="459">
      <c r="A459" t="inlineStr">
        <is>
          <t>digest_naoh_per_sio2</t>
        </is>
      </c>
      <c r="B459" s="4" t="n">
        <v>2</v>
      </c>
      <c r="C459" t="inlineStr">
        <is>
          <t>mol NaOH per mol SiO2 dissolved</t>
        </is>
      </c>
      <c r="D459" t="inlineStr">
        <is>
          <t>GREENWOOD</t>
        </is>
      </c>
      <c r="F459" t="b">
        <v>1</v>
      </c>
      <c r="G459" t="inlineStr">
        <is>
          <t>Bench caustic digest of burned cullet: mass dissolved and NaOH consumed per kg cullet</t>
        </is>
      </c>
    </row>
    <row r="460">
      <c r="A460" t="inlineStr">
        <is>
          <t>draw_kW</t>
        </is>
      </c>
      <c r="B460" s="4" t="n">
        <v>1.1</v>
      </c>
      <c r="C460" t="inlineStr">
        <is>
          <t>kW bull-block motor nameplate</t>
        </is>
      </c>
      <c r="E460" t="inlineStr">
        <is>
          <t>A-M-177</t>
        </is>
      </c>
    </row>
    <row r="461">
      <c r="A461" t="inlineStr">
        <is>
          <t>draw_run_h</t>
        </is>
      </c>
      <c r="B461" s="4" t="n">
        <v>1</v>
      </c>
      <c r="C461" t="inlineStr">
        <is>
          <t>h/d run</t>
        </is>
      </c>
      <c r="E461" t="inlineStr">
        <is>
          <t>A-M-177</t>
        </is>
      </c>
    </row>
    <row r="462">
      <c r="A462" t="inlineStr">
        <is>
          <t>draw_strain</t>
        </is>
      </c>
      <c r="B462" s="4" t="n">
        <v>3</v>
      </c>
      <c r="C462" t="inlineStr">
        <is>
          <t>- true strain, 8 mm rod to 1.8 mm wire</t>
        </is>
      </c>
      <c r="E462" t="inlineStr">
        <is>
          <t>A-M-177</t>
        </is>
      </c>
    </row>
    <row r="463">
      <c r="A463" t="inlineStr">
        <is>
          <t>edi_CE</t>
        </is>
      </c>
      <c r="B463" s="4" t="n">
        <v>0.1</v>
      </c>
      <c r="C463" t="inlineStr">
        <is>
          <t>- EDI current efficiency (water splitting carries the rest)</t>
        </is>
      </c>
      <c r="E463" t="inlineStr">
        <is>
          <t>A-M-176</t>
        </is>
      </c>
      <c r="F463" t="b">
        <v>1</v>
      </c>
      <c r="G463" t="inlineStr">
        <is>
          <t>EDI stack current vs product resistivity (X-MFG-34)</t>
        </is>
      </c>
    </row>
    <row r="464">
      <c r="A464" t="inlineStr">
        <is>
          <t>edi_V_cell</t>
        </is>
      </c>
      <c r="B464" s="4" t="n">
        <v>4</v>
      </c>
      <c r="C464" t="inlineStr">
        <is>
          <t>V per EDI cell pair</t>
        </is>
      </c>
      <c r="E464" t="inlineStr">
        <is>
          <t>A-M-176</t>
        </is>
      </c>
      <c r="F464" t="b">
        <v>1</v>
      </c>
      <c r="G464" t="inlineStr">
        <is>
          <t>EDI stack I-V</t>
        </is>
      </c>
    </row>
    <row r="465">
      <c r="A465" t="inlineStr">
        <is>
          <t>edi_cells</t>
        </is>
      </c>
      <c r="B465" s="4" t="n">
        <v>10</v>
      </c>
      <c r="C465" t="inlineStr">
        <is>
          <t>cell pairs</t>
        </is>
      </c>
      <c r="E465" t="inlineStr">
        <is>
          <t>A-M-176</t>
        </is>
      </c>
    </row>
    <row r="466">
      <c r="A466" t="inlineStr">
        <is>
          <t>ely_window_h</t>
        </is>
      </c>
      <c r="B466" s="4" t="n">
        <v>6</v>
      </c>
      <c r="C466" t="inlineStr">
        <is>
          <t>h/d</t>
        </is>
      </c>
      <c r="E466" t="inlineStr">
        <is>
          <t>A-M-133</t>
        </is>
      </c>
      <c r="F466" t="b">
        <v>1</v>
      </c>
      <c r="G466" t="inlineStr">
        <is>
          <t>see A-M-133</t>
        </is>
      </c>
    </row>
    <row r="467">
      <c r="A467" t="inlineStr">
        <is>
          <t>evap_U_ff</t>
        </is>
      </c>
      <c r="B467" s="4" t="n">
        <v>1500</v>
      </c>
      <c r="C467" t="inlineStr">
        <is>
          <t>W/(m2 K) falling film, condensing steam outside</t>
        </is>
      </c>
      <c r="D467" t="inlineStr">
        <is>
          <t>PERRY9_EVAP</t>
        </is>
      </c>
      <c r="F467" t="b">
        <v>1</v>
      </c>
      <c r="G467" t="inlineStr">
        <is>
          <t>Pilot measurement of U</t>
        </is>
      </c>
    </row>
    <row r="468">
      <c r="A468" t="inlineStr">
        <is>
          <t>evap_U_ix</t>
        </is>
      </c>
      <c r="B468" s="4" t="n">
        <v>2000</v>
      </c>
      <c r="C468" t="inlineStr">
        <is>
          <t>W/(m2 K) liquid-liquid interchanger (graphite block or nickel plate)</t>
        </is>
      </c>
      <c r="D468" t="inlineStr">
        <is>
          <t>PERRY9_EVAP</t>
        </is>
      </c>
      <c r="F468" t="b">
        <v>1</v>
      </c>
      <c r="G468" t="inlineStr">
        <is>
          <t>Thermal test of the interchanger</t>
        </is>
      </c>
    </row>
    <row r="469">
      <c r="A469" t="inlineStr">
        <is>
          <t>evap_approach_K</t>
        </is>
      </c>
      <c r="B469" s="4" t="n">
        <v>10</v>
      </c>
      <c r="C469" t="inlineStr">
        <is>
          <t>K interchanger cold-end approach</t>
        </is>
      </c>
      <c r="E469" t="inlineStr">
        <is>
          <t>A-M-106</t>
        </is>
      </c>
      <c r="F469" t="b">
        <v>1</v>
      </c>
      <c r="G469" t="inlineStr">
        <is>
          <t>Interchanger thermal test</t>
        </is>
      </c>
    </row>
    <row r="470">
      <c r="A470" t="inlineStr">
        <is>
          <t>evap_body_design_kPag</t>
        </is>
      </c>
      <c r="B470" s="4" t="n">
        <v>100</v>
      </c>
      <c r="C470" t="inlineStr">
        <is>
          <t>kPa g body design (plus full vacuum)</t>
        </is>
      </c>
      <c r="E470" t="inlineStr">
        <is>
          <t>A-M-107</t>
        </is>
      </c>
      <c r="F470" t="b">
        <v>1</v>
      </c>
      <c r="G470" t="inlineStr">
        <is>
          <t>Pressure test per ASME VIII-1 UG-99 / ISO 16528</t>
        </is>
      </c>
    </row>
    <row r="471">
      <c r="A471" t="inlineStr">
        <is>
          <t>evap_body_kPa</t>
        </is>
      </c>
      <c r="B471" s="4" t="n">
        <v>101.325</v>
      </c>
      <c r="C471" t="inlineStr">
        <is>
          <t>kPa abs body pressure</t>
        </is>
      </c>
      <c r="E471" t="inlineStr">
        <is>
          <t>A-M-106</t>
        </is>
      </c>
      <c r="F471" t="b">
        <v>1</v>
      </c>
      <c r="G471" t="inlineStr">
        <is>
          <t>Bench or pilot measurement</t>
        </is>
      </c>
    </row>
    <row r="472">
      <c r="A472" t="inlineStr">
        <is>
          <t>evap_bp_acid_C</t>
        </is>
      </c>
      <c r="B472" s="4" t="n">
        <v>108.6</v>
      </c>
      <c r="C472" t="inlineStr">
        <is>
          <t>C boiling at 101.3 kPa, 20 wt% HCl (azeotrope temperature, bounding)</t>
        </is>
      </c>
      <c r="D472" t="inlineStr">
        <is>
          <t>PERRY9_HCL</t>
        </is>
      </c>
      <c r="F472" t="b">
        <v>1</v>
      </c>
      <c r="G472" t="inlineStr">
        <is>
          <t>Boiling-point measurement on the product at the body pressure</t>
        </is>
      </c>
    </row>
    <row r="473">
      <c r="A473" t="inlineStr">
        <is>
          <t>evap_bp_base_C</t>
        </is>
      </c>
      <c r="B473" s="4" t="n">
        <v>108</v>
      </c>
      <c r="C473" t="inlineStr">
        <is>
          <t>C boiling at 101.3 kPa, 20 wt% NaOH (BPE 8 K from the Duhring lines)</t>
        </is>
      </c>
      <c r="D473" t="inlineStr">
        <is>
          <t>MCCABE7_DUHRING</t>
        </is>
      </c>
      <c r="F473" t="b">
        <v>1</v>
      </c>
      <c r="G473" t="inlineStr">
        <is>
          <t>Read-off check on the Duhring chart and boiling-point measurement</t>
        </is>
      </c>
    </row>
    <row r="474">
      <c r="A474" t="inlineStr">
        <is>
          <t>evap_col_hetp_mm</t>
        </is>
      </c>
      <c r="B474" s="4" t="n">
        <v>500</v>
      </c>
      <c r="C474" t="inlineStr">
        <is>
          <t>mm HETP, 25 mm random rings</t>
        </is>
      </c>
      <c r="D474" t="inlineStr">
        <is>
          <t>PERRY9_ABS</t>
        </is>
      </c>
      <c r="F474" t="b">
        <v>1</v>
      </c>
      <c r="G474" t="inlineStr">
        <is>
          <t>Pilot column composition profile</t>
        </is>
      </c>
    </row>
    <row r="475">
      <c r="A475" t="inlineStr">
        <is>
          <t>evap_col_margin</t>
        </is>
      </c>
      <c r="B475" s="4" t="n">
        <v>1.5</v>
      </c>
      <c r="C475" t="inlineStr">
        <is>
          <t>packed height margin on ideal stages x HETP</t>
        </is>
      </c>
      <c r="E475" t="inlineStr">
        <is>
          <t>A-M-108</t>
        </is>
      </c>
      <c r="F475" t="b">
        <v>1</v>
      </c>
      <c r="G475" t="inlineStr">
        <is>
          <t>Pilot column</t>
        </is>
      </c>
    </row>
    <row r="476">
      <c r="A476" t="inlineStr">
        <is>
          <t>evap_col_u_m_s</t>
        </is>
      </c>
      <c r="B476" s="4" t="n">
        <v>1</v>
      </c>
      <c r="C476" t="inlineStr">
        <is>
          <t>m/s superficial vapour velocity (below flooding for 25 mm rings at this load)</t>
        </is>
      </c>
      <c r="D476" t="inlineStr">
        <is>
          <t>PERRY9_ABS</t>
        </is>
      </c>
      <c r="F476" t="b">
        <v>1</v>
      </c>
      <c r="G476" t="inlineStr">
        <is>
          <t>Flooding check with the selected packing C_s (sizing/scrubber.py)</t>
        </is>
      </c>
    </row>
    <row r="477">
      <c r="A477" t="inlineStr">
        <is>
          <t>evap_comp_eta</t>
        </is>
      </c>
      <c r="B477" s="4" t="n">
        <v>0.7</v>
      </c>
      <c r="C477" t="inlineStr">
        <is>
          <t>isentropic efficiency, single-stage blower</t>
        </is>
      </c>
      <c r="D477" t="inlineStr">
        <is>
          <t>PERRY9_PUMP</t>
        </is>
      </c>
      <c r="F477" t="b">
        <v>1</v>
      </c>
      <c r="G477" t="inlineStr">
        <is>
          <t>Compressor map of the in-house blower</t>
        </is>
      </c>
    </row>
    <row r="478">
      <c r="A478" t="inlineStr">
        <is>
          <t>evap_cond_hcl_wt</t>
        </is>
      </c>
      <c r="B478" s="4" t="n">
        <v>0.005</v>
      </c>
      <c r="C478" t="inlineStr">
        <is>
          <t>mass fraction HCl in the acid condensate (column top vapour)</t>
        </is>
      </c>
      <c r="E478" t="inlineStr">
        <is>
          <t>A-M-108</t>
        </is>
      </c>
      <c r="F478" t="b">
        <v>1</v>
      </c>
      <c r="G478" t="inlineStr">
        <is>
          <t>Titrate the condensate on the pilot; must sit above the 0.0034 equilibrium over the 2 M feed (PERRY7_HCL_VLE)</t>
        </is>
      </c>
    </row>
    <row r="479">
      <c r="A479" t="inlineStr">
        <is>
          <t>evap_cp_acid_prod</t>
        </is>
      </c>
      <c r="B479" s="4" t="n">
        <v>3.1</v>
      </c>
      <c r="C479" t="inlineStr">
        <is>
          <t>kJ/(kg K) 20 wt% HCl</t>
        </is>
      </c>
      <c r="D479" t="inlineStr">
        <is>
          <t>PERRY9</t>
        </is>
      </c>
      <c r="F479" t="b">
        <v>1</v>
      </c>
      <c r="G479" t="inlineStr">
        <is>
          <t>Perry sec. 2 heat-capacity table read-off</t>
        </is>
      </c>
    </row>
    <row r="480">
      <c r="A480" t="inlineStr">
        <is>
          <t>evap_cp_base_prod</t>
        </is>
      </c>
      <c r="B480" s="4" t="n">
        <v>3.55</v>
      </c>
      <c r="C480" t="inlineStr">
        <is>
          <t>kJ/(kg K) 20 wt% NaOH</t>
        </is>
      </c>
      <c r="D480" t="inlineStr">
        <is>
          <t>PERRY9</t>
        </is>
      </c>
      <c r="F480" t="b">
        <v>1</v>
      </c>
      <c r="G480" t="inlineStr">
        <is>
          <t>Perry sec. 2 heat-capacity table read-off</t>
        </is>
      </c>
    </row>
    <row r="481">
      <c r="A481" t="inlineStr">
        <is>
          <t>evap_cp_feed</t>
        </is>
      </c>
      <c r="B481" s="4" t="n">
        <v>3.85</v>
      </c>
      <c r="C481" t="inlineStr">
        <is>
          <t>kJ/(kg K) 2 M HCl or NaOH</t>
        </is>
      </c>
      <c r="D481" t="inlineStr">
        <is>
          <t>PERRY9</t>
        </is>
      </c>
      <c r="F481" t="b">
        <v>1</v>
      </c>
      <c r="G481" t="inlineStr">
        <is>
          <t>Perry sec. 2 heat-capacity table read-off</t>
        </is>
      </c>
    </row>
    <row r="482">
      <c r="A482" t="inlineStr">
        <is>
          <t>evap_dT_drive_K</t>
        </is>
      </c>
      <c r="B482" s="4" t="n">
        <v>6</v>
      </c>
      <c r="C482" t="inlineStr">
        <is>
          <t>K condensing minus boiling</t>
        </is>
      </c>
      <c r="E482" t="inlineStr">
        <is>
          <t>A-M-106</t>
        </is>
      </c>
      <c r="F482" t="b">
        <v>1</v>
      </c>
      <c r="G482" t="inlineStr">
        <is>
          <t>Pilot run: compressor ratio vs heat flux</t>
        </is>
      </c>
    </row>
    <row r="483">
      <c r="A483" t="inlineStr">
        <is>
          <t>evap_feed_T_C</t>
        </is>
      </c>
      <c r="B483" s="4" t="n">
        <v>35</v>
      </c>
      <c r="C483" t="inlineStr">
        <is>
          <t>C BMED product temperature</t>
        </is>
      </c>
      <c r="E483" t="inlineStr">
        <is>
          <t>A-M-106</t>
        </is>
      </c>
      <c r="F483" t="b">
        <v>1</v>
      </c>
      <c r="G483" t="inlineStr">
        <is>
          <t>BMED stack outlet temperature log</t>
        </is>
      </c>
    </row>
    <row r="484">
      <c r="A484" t="inlineStr">
        <is>
          <t>evap_k_steam</t>
        </is>
      </c>
      <c r="B484" s="4" t="n">
        <v>1.33</v>
      </c>
      <c r="C484" t="inlineStr">
        <is>
          <t>cp/cv low-pressure steam</t>
        </is>
      </c>
      <c r="D484" t="inlineStr">
        <is>
          <t>IAPWS_IF97</t>
        </is>
      </c>
      <c r="F484" t="b">
        <v>1</v>
      </c>
      <c r="G484" t="inlineStr">
        <is>
          <t>-</t>
        </is>
      </c>
    </row>
    <row r="485">
      <c r="A485" t="inlineStr">
        <is>
          <t>evap_motor_eta</t>
        </is>
      </c>
      <c r="B485" s="4" t="n">
        <v>0.9</v>
      </c>
      <c r="C485" t="inlineStr">
        <is>
          <t>motor efficiency</t>
        </is>
      </c>
      <c r="E485" t="inlineStr">
        <is>
          <t>A-M-106</t>
        </is>
      </c>
      <c r="F485" t="b">
        <v>1</v>
      </c>
      <c r="G485" t="inlineStr">
        <is>
          <t>IEC 60034-30-1 class of the motor used</t>
        </is>
      </c>
    </row>
    <row r="486">
      <c r="A486" t="inlineStr">
        <is>
          <t>evap_shell_design_kPag</t>
        </is>
      </c>
      <c r="B486" s="4" t="n">
        <v>350</v>
      </c>
      <c r="C486" t="inlineStr">
        <is>
          <t>kPa g steam shell design</t>
        </is>
      </c>
      <c r="E486" t="inlineStr">
        <is>
          <t>A-M-107</t>
        </is>
      </c>
      <c r="F486" t="b">
        <v>1</v>
      </c>
      <c r="G486" t="inlineStr">
        <is>
          <t>Pressure test</t>
        </is>
      </c>
    </row>
    <row r="487">
      <c r="A487" t="inlineStr">
        <is>
          <t>evap_sump_h_mm</t>
        </is>
      </c>
      <c r="B487" s="4" t="n">
        <v>400</v>
      </c>
      <c r="C487" t="inlineStr">
        <is>
          <t>mm liquid in the sump</t>
        </is>
      </c>
      <c r="E487" t="inlineStr">
        <is>
          <t>A-M-107</t>
        </is>
      </c>
      <c r="F487" t="b">
        <v>1</v>
      </c>
      <c r="G487" t="inlineStr">
        <is>
          <t>Level control setpoint</t>
        </is>
      </c>
    </row>
    <row r="488">
      <c r="A488" t="inlineStr">
        <is>
          <t>evap_tube_L_mm</t>
        </is>
      </c>
      <c r="B488" s="4" t="n">
        <v>1500</v>
      </c>
      <c r="C488" t="inlineStr">
        <is>
          <t>mm</t>
        </is>
      </c>
      <c r="E488" t="inlineStr">
        <is>
          <t>A-M-107</t>
        </is>
      </c>
      <c r="F488" t="b">
        <v>1</v>
      </c>
      <c r="G488" t="inlineStr">
        <is>
          <t>Envelope fit</t>
        </is>
      </c>
    </row>
    <row r="489">
      <c r="A489" t="inlineStr">
        <is>
          <t>evap_tube_id_mm</t>
        </is>
      </c>
      <c r="B489" s="4" t="n">
        <v>25</v>
      </c>
      <c r="C489" t="inlineStr">
        <is>
          <t>mm</t>
        </is>
      </c>
      <c r="E489" t="inlineStr">
        <is>
          <t>A-M-107</t>
        </is>
      </c>
      <c r="F489" t="b">
        <v>1</v>
      </c>
      <c r="G489" t="inlineStr">
        <is>
          <t>Tube stock</t>
        </is>
      </c>
    </row>
    <row r="490">
      <c r="A490" t="inlineStr">
        <is>
          <t>evap_wet_min</t>
        </is>
      </c>
      <c r="B490" s="4" t="n">
        <v>0.05</v>
      </c>
      <c r="C490" t="inlineStr">
        <is>
          <t>kg/(m s) minimum falling-film wetting rate</t>
        </is>
      </c>
      <c r="D490" t="inlineStr">
        <is>
          <t>PERRY9_EVAP</t>
        </is>
      </c>
      <c r="F490" t="b">
        <v>1</v>
      </c>
      <c r="G490" t="inlineStr">
        <is>
          <t>Pilot wetting test</t>
        </is>
      </c>
    </row>
    <row r="491">
      <c r="A491" t="inlineStr">
        <is>
          <t>ew_anode_O2_frac</t>
        </is>
      </c>
      <c r="B491" s="4" t="n">
        <v>0.02</v>
      </c>
      <c r="C491" t="inlineStr">
        <is>
          <t>-</t>
        </is>
      </c>
      <c r="E491" t="inlineStr">
        <is>
          <t>A-M-133</t>
        </is>
      </c>
      <c r="F491" t="b">
        <v>1</v>
      </c>
      <c r="G491" t="inlineStr">
        <is>
          <t>see A-M-133</t>
        </is>
      </c>
    </row>
    <row r="492">
      <c r="A492" t="inlineStr">
        <is>
          <t>ew_bar_L_m</t>
        </is>
      </c>
      <c r="B492" s="4" t="n">
        <v>2</v>
      </c>
      <c r="C492" t="inlineStr">
        <is>
          <t>m rectifier to cell</t>
        </is>
      </c>
      <c r="E492" t="inlineStr">
        <is>
          <t>AQS-BUS-001 rev B</t>
        </is>
      </c>
    </row>
    <row r="493">
      <c r="A493" t="inlineStr">
        <is>
          <t>ew_bar_emissivity</t>
        </is>
      </c>
      <c r="B493" s="4" t="n">
        <v>0.8</v>
      </c>
      <c r="C493" t="inlineStr">
        <is>
          <t>- painted bar</t>
        </is>
      </c>
      <c r="D493" t="inlineStr">
        <is>
          <t>CDA_PUB22</t>
        </is>
      </c>
    </row>
    <row r="494">
      <c r="A494" t="inlineStr">
        <is>
          <t>ew_bar_rise_K</t>
        </is>
      </c>
      <c r="B494" s="4" t="n">
        <v>30</v>
      </c>
      <c r="C494" t="inlineStr">
        <is>
          <t>K bar temperature rise over 40 C ambient</t>
        </is>
      </c>
      <c r="E494" t="inlineStr">
        <is>
          <t>A-M-173</t>
        </is>
      </c>
      <c r="F494" t="b">
        <v>1</v>
      </c>
      <c r="G494" t="inlineStr">
        <is>
          <t>Thermocouple on EW-7 bar at rated current (RECT-EW first article)</t>
        </is>
      </c>
    </row>
    <row r="495">
      <c r="A495" t="inlineStr">
        <is>
          <t>ew_bar_t_mm</t>
        </is>
      </c>
      <c r="B495" s="4" t="n">
        <v>6.3</v>
      </c>
      <c r="C495" t="inlineStr">
        <is>
          <t>mm bar thickness</t>
        </is>
      </c>
      <c r="D495" t="inlineStr">
        <is>
          <t>CDA_PUB22</t>
        </is>
      </c>
    </row>
    <row r="496">
      <c r="A496" t="inlineStr">
        <is>
          <t>ew_bus_drop_V</t>
        </is>
      </c>
      <c r="B496" s="4" t="n">
        <v>0.3</v>
      </c>
      <c r="C496" t="inlineStr">
        <is>
          <t>V</t>
        </is>
      </c>
      <c r="E496" t="inlineStr">
        <is>
          <t>AQS-ELEC-004 _rect_ew_sizing VDROP (study)</t>
        </is>
      </c>
      <c r="F496" t="b">
        <v>1</v>
      </c>
      <c r="G496" t="inlineStr">
        <is>
          <t>Measure bus-bar and contact drop on the installed DC bus at rated current</t>
        </is>
      </c>
    </row>
    <row r="497">
      <c r="A497" t="inlineStr">
        <is>
          <t>ew_cathode_CE</t>
        </is>
      </c>
      <c r="B497" s="4" t="n">
        <v>0.85</v>
      </c>
      <c r="C497" t="inlineStr">
        <is>
          <t>-</t>
        </is>
      </c>
      <c r="E497" t="inlineStr">
        <is>
          <t>A-M-133</t>
        </is>
      </c>
      <c r="F497" t="b">
        <v>1</v>
      </c>
      <c r="G497" t="inlineStr">
        <is>
          <t>see A-M-133</t>
        </is>
      </c>
    </row>
    <row r="498">
      <c r="A498" t="inlineStr">
        <is>
          <t>ew_cell_voltage_V</t>
        </is>
      </c>
      <c r="B498" s="4" t="n">
        <v>2.12</v>
      </c>
      <c r="C498" t="inlineStr">
        <is>
          <t>V</t>
        </is>
      </c>
      <c r="D498" t="inlineStr">
        <is>
          <t>USBM_CL_EW</t>
        </is>
      </c>
      <c r="F498" t="b">
        <v>1</v>
      </c>
      <c r="G498" t="inlineStr">
        <is>
          <t>Bench diaphragm chloride EW cell, cupric electrolyte, 200 A/m2: cell voltage and energy per kg Cu</t>
        </is>
      </c>
    </row>
    <row r="499">
      <c r="A499" t="inlineStr">
        <is>
          <t>ew_contact_drop_V</t>
        </is>
      </c>
      <c r="B499" s="4" t="n">
        <v>0.05</v>
      </c>
      <c r="C499" t="inlineStr">
        <is>
          <t>V both bolted joints</t>
        </is>
      </c>
      <c r="E499" t="inlineStr">
        <is>
          <t>AQS-BUS-001 rev B</t>
        </is>
      </c>
      <c r="F499" t="b">
        <v>1</v>
      </c>
      <c r="G499" t="inlineStr">
        <is>
          <t>Joint millivolt drop at rated current</t>
        </is>
      </c>
    </row>
    <row r="500">
      <c r="A500" t="inlineStr">
        <is>
          <t>ew_current_density_A_m2</t>
        </is>
      </c>
      <c r="B500" s="4" t="n">
        <v>200</v>
      </c>
      <c r="C500" t="inlineStr">
        <is>
          <t>A/m2</t>
        </is>
      </c>
      <c r="D500" t="inlineStr">
        <is>
          <t>SCHLESINGER2011</t>
        </is>
      </c>
    </row>
    <row r="501">
      <c r="A501" t="inlineStr">
        <is>
          <t>ew_current_efficiency_design</t>
        </is>
      </c>
      <c r="B501" s="4" t="n">
        <v>0.85</v>
      </c>
      <c r="C501" t="inlineStr">
        <is>
          <t>-</t>
        </is>
      </c>
      <c r="D501" t="inlineStr">
        <is>
          <t>USBM_CL_EW</t>
        </is>
      </c>
      <c r="F501" t="b">
        <v>1</v>
      </c>
      <c r="G501" t="inlineStr">
        <is>
          <t>Bench chloride EW cell per metal: deposit mass vs charge (current efficiency)</t>
        </is>
      </c>
    </row>
    <row r="502">
      <c r="A502" t="inlineStr">
        <is>
          <t>exp_T_in_K</t>
        </is>
      </c>
      <c r="B502" s="4" t="n">
        <v>300</v>
      </c>
      <c r="C502" t="inlineStr">
        <is>
          <t>K expander inlet after aftercooler</t>
        </is>
      </c>
      <c r="E502" t="inlineStr">
        <is>
          <t>A-M-186</t>
        </is>
      </c>
      <c r="F502" t="b">
        <v>1</v>
      </c>
      <c r="G502" t="inlineStr">
        <is>
          <t>Commissioning run of the EXPANDER loop on the condenser at rated CO2 load: outlet T, loop flow and net power</t>
        </is>
      </c>
    </row>
    <row r="503">
      <c r="A503" t="inlineStr">
        <is>
          <t>exp_eta_comp</t>
        </is>
      </c>
      <c r="B503" s="4" t="n">
        <v>0.7</v>
      </c>
      <c r="C503" t="inlineStr">
        <is>
          <t>- loop compressor isentropic efficiency</t>
        </is>
      </c>
      <c r="E503" t="inlineStr">
        <is>
          <t>A-M-186</t>
        </is>
      </c>
      <c r="F503" t="b">
        <v>1</v>
      </c>
      <c r="G503" t="inlineStr">
        <is>
          <t>Commissioning run of the EXPANDER loop on the condenser at rated CO2 load: outlet T, loop flow and net power</t>
        </is>
      </c>
    </row>
    <row r="504">
      <c r="A504" t="inlineStr">
        <is>
          <t>exp_eta_s</t>
        </is>
      </c>
      <c r="B504" s="4" t="n">
        <v>0.75</v>
      </c>
      <c r="C504" t="inlineStr">
        <is>
          <t>- expander isentropic efficiency</t>
        </is>
      </c>
      <c r="E504" t="inlineStr">
        <is>
          <t>A-M-186</t>
        </is>
      </c>
      <c r="F504" t="b">
        <v>1</v>
      </c>
      <c r="G504" t="inlineStr">
        <is>
          <t>Commissioning run of the EXPANDER loop on the condenser at rated CO2 load: outlet T, loop flow and net power</t>
        </is>
      </c>
    </row>
    <row r="505">
      <c r="A505" t="inlineStr">
        <is>
          <t>exp_pr</t>
        </is>
      </c>
      <c r="B505" s="4" t="n">
        <v>5</v>
      </c>
      <c r="C505" t="inlineStr">
        <is>
          <t>- reverse-Brayton N2 loop pressure ratio (backup refrigeration, Q-010)</t>
        </is>
      </c>
      <c r="E505" t="inlineStr">
        <is>
          <t>A-M-186</t>
        </is>
      </c>
      <c r="F505" t="b">
        <v>1</v>
      </c>
      <c r="G505" t="inlineStr">
        <is>
          <t>Commissioning run of the EXPANDER loop on the condenser at rated CO2 load: outlet T, loop flow and net power</t>
        </is>
      </c>
    </row>
    <row r="506">
      <c r="A506" t="inlineStr">
        <is>
          <t>ext_F_slab</t>
        </is>
      </c>
      <c r="B506" s="4" t="n">
        <v>1.264</v>
      </c>
      <c r="C506" t="inlineStr">
        <is>
          <t>W/(m K), unheated slab F-0.73 Btu/(h ft F), climate zone 3</t>
        </is>
      </c>
      <c r="D506" t="inlineStr">
        <is>
          <t>IECC2021_C402</t>
        </is>
      </c>
      <c r="F506" t="b">
        <v>1</v>
      </c>
      <c r="G506" t="inlineStr">
        <is>
          <t>Slab edge detail</t>
        </is>
      </c>
    </row>
    <row r="507">
      <c r="A507" t="inlineStr">
        <is>
          <t>ext_Ra_L_s_m2</t>
        </is>
      </c>
      <c r="B507" s="4" t="n">
        <v>0.3</v>
      </c>
      <c r="C507" t="inlineStr">
        <is>
          <t>L/(s m2)</t>
        </is>
      </c>
      <c r="D507" t="inlineStr">
        <is>
          <t>ASHRAE621_2019</t>
        </is>
      </c>
      <c r="F507" t="b">
        <v>1</v>
      </c>
      <c r="G507" t="inlineStr">
        <is>
          <t>Occupancy classification of the extension</t>
        </is>
      </c>
    </row>
    <row r="508">
      <c r="A508" t="inlineStr">
        <is>
          <t>ext_T_design_c_C</t>
        </is>
      </c>
      <c r="B508" s="4" t="n">
        <v>38</v>
      </c>
      <c r="C508" t="inlineStr">
        <is>
          <t>C cooling design dry bulb 0.4 % (DFW)</t>
        </is>
      </c>
      <c r="D508" t="inlineStr">
        <is>
          <t>ASHRAE_FUND_2021</t>
        </is>
      </c>
      <c r="F508" t="b">
        <v>1</v>
      </c>
      <c r="G508" t="inlineStr">
        <is>
          <t>ASHRAE 2021 climatic data for the station</t>
        </is>
      </c>
    </row>
    <row r="509">
      <c r="A509" t="inlineStr">
        <is>
          <t>ext_T_design_h_C</t>
        </is>
      </c>
      <c r="B509" s="4" t="n">
        <v>-5</v>
      </c>
      <c r="C509" t="inlineStr">
        <is>
          <t>C heating design dry bulb 99.6 % (DFW)</t>
        </is>
      </c>
      <c r="D509" t="inlineStr">
        <is>
          <t>ASHRAE_FUND_2021</t>
        </is>
      </c>
      <c r="F509" t="b">
        <v>1</v>
      </c>
      <c r="G509" t="inlineStr">
        <is>
          <t>ASHRAE 2021 climatic data for the station</t>
        </is>
      </c>
    </row>
    <row r="510">
      <c r="A510" t="inlineStr">
        <is>
          <t>ext_T_in_C</t>
        </is>
      </c>
      <c r="B510" s="4" t="n">
        <v>18.3</v>
      </c>
      <c r="C510" t="inlineStr">
        <is>
          <t>C balance (65 F, degree-day base)</t>
        </is>
      </c>
      <c r="D510" t="inlineStr">
        <is>
          <t>NOAA_NORMALS_DFW</t>
        </is>
      </c>
      <c r="F510" t="b">
        <v>0</v>
      </c>
    </row>
    <row r="511">
      <c r="A511" t="inlineStr">
        <is>
          <t>ext_U_roof</t>
        </is>
      </c>
      <c r="B511" s="4" t="n">
        <v>0.199</v>
      </c>
      <c r="C511" t="inlineStr">
        <is>
          <t>W/(m2 K)</t>
        </is>
      </c>
      <c r="D511" t="inlineStr">
        <is>
          <t>IECC2021_C402</t>
        </is>
      </c>
      <c r="F511" t="b">
        <v>1</v>
      </c>
      <c r="G511" t="inlineStr">
        <is>
          <t>Roof assembly design</t>
        </is>
      </c>
    </row>
    <row r="512">
      <c r="A512" t="inlineStr">
        <is>
          <t>ext_U_wall</t>
        </is>
      </c>
      <c r="B512" s="4" t="n">
        <v>0.534</v>
      </c>
      <c r="C512" t="inlineStr">
        <is>
          <t>W/(m2 K) metal building wall U-0.094 Btu/h ft2 F, climate zone 3</t>
        </is>
      </c>
      <c r="D512" t="inlineStr">
        <is>
          <t>IECC2021_C402</t>
        </is>
      </c>
      <c r="F512" t="b">
        <v>1</v>
      </c>
      <c r="G512" t="inlineStr">
        <is>
          <t>Wall assembly design</t>
        </is>
      </c>
    </row>
    <row r="513">
      <c r="A513" t="inlineStr">
        <is>
          <t>ext_conditioned</t>
        </is>
      </c>
      <c r="B513" s="4" t="n">
        <v>1</v>
      </c>
      <c r="C513" t="inlineStr">
        <is>
          <t>1 conditioned, 0 unconditioned hall</t>
        </is>
      </c>
      <c r="E513" t="inlineStr">
        <is>
          <t>A-M-104 (owner decision 2026-10-15: conditioned)</t>
        </is>
      </c>
      <c r="F513" t="b">
        <v>1</v>
      </c>
      <c r="G513" t="inlineStr">
        <is>
          <t>Bin-hour load calculation on TMY3 for the hall programme</t>
        </is>
      </c>
    </row>
    <row r="514">
      <c r="A514" t="inlineStr">
        <is>
          <t>ext_cop</t>
        </is>
      </c>
      <c r="B514" s="4" t="n">
        <v>3.2</v>
      </c>
      <c r="C514" t="inlineStr">
        <is>
          <t>heat pump COP</t>
        </is>
      </c>
      <c r="D514" t="inlineStr">
        <is>
          <t>AHRI340_ASHRAE901</t>
        </is>
      </c>
      <c r="F514" t="b">
        <v>1</v>
      </c>
      <c r="G514" t="inlineStr">
        <is>
          <t>Selected heat-pump rating</t>
        </is>
      </c>
    </row>
    <row r="515">
      <c r="A515" t="inlineStr">
        <is>
          <t>ext_dT_mean_K</t>
        </is>
      </c>
      <c r="B515" s="4" t="n">
        <v>7.9</v>
      </c>
      <c r="C515" t="inlineStr">
        <is>
          <t>K mean |T_in - T_out|: (HDD65 + CDD65) x 5/9 / 365 with HDD65 2272 F-d and CDD65 2878 F-d (DFW 1991-2020 normals)</t>
        </is>
      </c>
      <c r="D515" t="inlineStr">
        <is>
          <t>NOAA_NORMALS_DFW</t>
        </is>
      </c>
      <c r="F515" t="b">
        <v>1</v>
      </c>
      <c r="G515" t="inlineStr">
        <is>
          <t>NOAA 1991-2020 normals for the final site; TMY3 bin-hour calculation</t>
        </is>
      </c>
    </row>
    <row r="516">
      <c r="A516" t="inlineStr">
        <is>
          <t>ext_dTc_K</t>
        </is>
      </c>
      <c r="B516" s="4" t="n">
        <v>4.381</v>
      </c>
      <c r="C516" t="inlineStr">
        <is>
          <t>K mean cooling dT = CDD65 2878 F-d x 5/9 / 365</t>
        </is>
      </c>
      <c r="D516" t="inlineStr">
        <is>
          <t>NOAA_NORMALS_DFW</t>
        </is>
      </c>
      <c r="F516" t="b">
        <v>1</v>
      </c>
      <c r="G516" t="inlineStr">
        <is>
          <t>TMY3 bin-hour calculation</t>
        </is>
      </c>
    </row>
    <row r="517">
      <c r="A517" t="inlineStr">
        <is>
          <t>ext_dTh_K</t>
        </is>
      </c>
      <c r="B517" s="4" t="n">
        <v>3.458</v>
      </c>
      <c r="C517" t="inlineStr">
        <is>
          <t>K mean heating dT = HDD65 2272 F-d x 5/9 / 365</t>
        </is>
      </c>
      <c r="D517" t="inlineStr">
        <is>
          <t>NOAA_NORMALS_DFW</t>
        </is>
      </c>
      <c r="F517" t="b">
        <v>1</v>
      </c>
      <c r="G517" t="inlineStr">
        <is>
          <t>TMY3 bin-hour calculation</t>
        </is>
      </c>
    </row>
    <row r="518">
      <c r="A518" t="inlineStr">
        <is>
          <t>ext_hvac</t>
        </is>
      </c>
      <c r="B518" s="4" t="inlineStr">
        <is>
          <t>air</t>
        </is>
      </c>
      <c r="C518" t="inlineStr">
        <is>
          <t>'air', 'ground' or 'best' (lower converged footprint)</t>
        </is>
      </c>
      <c r="D518" t="inlineStr">
        <is>
          <t>Mike Matthews 2026-10-15: air-source; 27 km of bores for a 0.2 % footprint gain is inside input uncertainty and adds major build complexity (D77)</t>
        </is>
      </c>
      <c r="E518" t="inlineStr">
        <is>
          <t>A-M-112</t>
        </is>
      </c>
      <c r="F518" t="b">
        <v>1</v>
      </c>
      <c r="G518" t="inlineStr">
        <is>
          <t>Owner review of the X-PAR-08 comparison</t>
        </is>
      </c>
    </row>
    <row r="519">
      <c r="A519" t="inlineStr">
        <is>
          <t>ext_light_frac</t>
        </is>
      </c>
      <c r="B519" s="4" t="n">
        <v>0.1</v>
      </c>
      <c r="C519" t="inlineStr">
        <is>
          <t>fraction of 24 h lit; occupant-sensor controlled storage/production hall (IECC 2021 C405.2.1)</t>
        </is>
      </c>
      <c r="E519" t="inlineStr">
        <is>
          <t>A-M-104</t>
        </is>
      </c>
      <c r="F519" t="b">
        <v>1</v>
      </c>
      <c r="G519" t="inlineStr">
        <is>
          <t>Operating schedule and daylight study</t>
        </is>
      </c>
    </row>
    <row r="520">
      <c r="A520" t="inlineStr">
        <is>
          <t>ext_lpd_W_m2</t>
        </is>
      </c>
      <c r="B520" s="4" t="n">
        <v>8.800000000000001</v>
      </c>
      <c r="C520" t="inlineStr">
        <is>
          <t>W/m2</t>
        </is>
      </c>
      <c r="D520" t="inlineStr">
        <is>
          <t>IECC2021_C405</t>
        </is>
      </c>
      <c r="F520" t="b">
        <v>1</v>
      </c>
      <c r="G520" t="inlineStr">
        <is>
          <t>Lighting design of the extension</t>
        </is>
      </c>
    </row>
    <row r="521">
      <c r="A521" t="inlineStr">
        <is>
          <t>ext_sfp_W_per_L_s</t>
        </is>
      </c>
      <c r="B521" s="4" t="n">
        <v>1.25</v>
      </c>
      <c r="C521" t="inlineStr">
        <is>
          <t>W per L/s</t>
        </is>
      </c>
      <c r="D521" t="inlineStr">
        <is>
          <t>ISO16798_3</t>
        </is>
      </c>
      <c r="F521" t="b">
        <v>1</v>
      </c>
      <c r="G521" t="inlineStr">
        <is>
          <t>Fan selection</t>
        </is>
      </c>
    </row>
    <row r="522">
      <c r="A522" t="inlineStr">
        <is>
          <t>ext_wall_h_mm</t>
        </is>
      </c>
      <c r="B522" s="4" t="n">
        <v>6000</v>
      </c>
      <c r="C522" t="inlineStr">
        <is>
          <t>mm eave height of the extension (EXT_HALL block height)</t>
        </is>
      </c>
      <c r="E522" t="inlineStr">
        <is>
          <t>A-M-104</t>
        </is>
      </c>
      <c r="F522" t="b">
        <v>1</v>
      </c>
      <c r="G522" t="inlineStr">
        <is>
          <t>Hall section drawing</t>
        </is>
      </c>
    </row>
    <row r="523">
      <c r="A523" t="inlineStr">
        <is>
          <t>feed_case_A_silicate_oxide</t>
        </is>
      </c>
      <c r="B523" s="4" t="n">
        <v>0.99</v>
      </c>
      <c r="C523" t="inlineStr">
        <is>
          <t>mass fraction</t>
        </is>
      </c>
      <c r="D523" t="inlineStr">
        <is>
          <t>AQS-ASSAY-001 Rev C class A (regolith-like) point</t>
        </is>
      </c>
      <c r="F523" t="b">
        <v>1</v>
      </c>
      <c r="G523" t="inlineStr">
        <is>
          <t>XRF/XRD assay of a representative class A lot</t>
        </is>
      </c>
    </row>
    <row r="524">
      <c r="A524" t="inlineStr">
        <is>
          <t>feed_rate_kg_d</t>
        </is>
      </c>
      <c r="B524" s="4" t="n">
        <v>102.68</v>
      </c>
      <c r="C524" t="inlineStr">
        <is>
          <t>kg/d</t>
        </is>
      </c>
      <c r="D524" t="inlineStr">
        <is>
          <t>AQS-ASSAY-001 Rev C design feed rate (owner basis)</t>
        </is>
      </c>
    </row>
    <row r="525">
      <c r="A525" t="inlineStr">
        <is>
          <t>fire_level_hazard</t>
        </is>
      </c>
      <c r="B525" s="4" t="inlineStr">
        <is>
          <t>{"L-1":"OH2","L0":"EH1","L1":"OH1"}</t>
        </is>
      </c>
      <c r="C525" t="inlineStr">
        <is>
          <t>NFPA 13 hazard class per level</t>
        </is>
      </c>
      <c r="D525" t="inlineStr">
        <is>
          <t>NFPA13_2022</t>
        </is>
      </c>
    </row>
    <row r="526">
      <c r="A526" t="inlineStr">
        <is>
          <t>fire_nfpa13_hazards</t>
        </is>
      </c>
      <c r="B526" s="4" t="inlineStr">
        <is>
          <t>{"EH1":[12.2,232,1900,90],"EH2":[16.3,232,1900,120],"LH":[4.1,139,380,30],"OH1":[6.1,139,950,60],"OH2":[8.1,139,950,90]}</t>
        </is>
      </c>
      <c r="C526" t="inlineStr">
        <is>
          <t>per class: density mm/min, design area m2, hose allowance L/min, duration min</t>
        </is>
      </c>
      <c r="D526" t="inlineStr">
        <is>
          <t>NFPA13_2022</t>
        </is>
      </c>
    </row>
    <row r="527">
      <c r="A527" t="inlineStr">
        <is>
          <t>fire_pipe_schedule</t>
        </is>
      </c>
      <c r="B527" s="4" t="inlineStr">
        <is>
          <t>Sch 40 black steel ASTM A53, hydraulically designed (density/area); pipe-schedule method not used where EH1 is present</t>
        </is>
      </c>
      <c r="C527" t="inlineStr">
        <is>
          <t>text</t>
        </is>
      </c>
      <c r="D527" t="inlineStr">
        <is>
          <t>NFPA13_2022</t>
        </is>
      </c>
    </row>
    <row r="528">
      <c r="A528" t="inlineStr">
        <is>
          <t>fire_pump_150_flow_frac</t>
        </is>
      </c>
      <c r="B528" s="4" t="n">
        <v>1.5</v>
      </c>
      <c r="C528" t="inlineStr">
        <is>
          <t>fraction of rated flow at runout</t>
        </is>
      </c>
      <c r="D528" t="inlineStr">
        <is>
          <t>NFPA20_2022</t>
        </is>
      </c>
    </row>
    <row r="529">
      <c r="A529" t="inlineStr">
        <is>
          <t>fire_pump_150_head_frac</t>
        </is>
      </c>
      <c r="B529" s="4" t="n">
        <v>0.65</v>
      </c>
      <c r="C529" t="inlineStr">
        <is>
          <t>fraction of rated head at 150 % flow</t>
        </is>
      </c>
      <c r="D529" t="inlineStr">
        <is>
          <t>NFPA20_2022</t>
        </is>
      </c>
    </row>
    <row r="530">
      <c r="A530" t="inlineStr">
        <is>
          <t>fire_pump_churn_frac</t>
        </is>
      </c>
      <c r="B530" s="4" t="n">
        <v>1.21</v>
      </c>
      <c r="C530" t="inlineStr">
        <is>
          <t>fraction of rated head at shutoff (churn)</t>
        </is>
      </c>
      <c r="D530" t="inlineStr">
        <is>
          <t>NFPA20_2022</t>
        </is>
      </c>
    </row>
    <row r="531">
      <c r="A531" t="inlineStr">
        <is>
          <t>fire_pump_head_margin_kPa</t>
        </is>
      </c>
      <c r="B531" s="4" t="n">
        <v>150</v>
      </c>
      <c r="C531" t="inlineStr">
        <is>
          <t>kPa design margin over static + friction to the remote area</t>
        </is>
      </c>
      <c r="E531" t="inlineStr">
        <is>
          <t>A-M-297</t>
        </is>
      </c>
      <c r="F531" t="b">
        <v>1</v>
      </c>
      <c r="G531" t="inlineStr">
        <is>
          <t>Hydraulic calculation from the riser to the hydraulically most remote sprinkler (fire engineer of record)</t>
        </is>
      </c>
    </row>
    <row r="532">
      <c r="A532" t="inlineStr">
        <is>
          <t>fire_pump_type</t>
        </is>
      </c>
      <c r="B532" s="4" t="inlineStr">
        <is>
          <t>electric horizontal split-case, listed, NFPA 20; critical bus with the genset as second supply</t>
        </is>
      </c>
      <c r="C532" t="inlineStr">
        <is>
          <t>text</t>
        </is>
      </c>
      <c r="D532" t="inlineStr">
        <is>
          <t>NFPA20_2022</t>
        </is>
      </c>
    </row>
    <row r="533">
      <c r="A533" t="inlineStr">
        <is>
          <t>fire_sprinkler_margin</t>
        </is>
      </c>
      <c r="B533" s="4" t="n">
        <v>1.1</v>
      </c>
      <c r="C533" t="inlineStr">
        <is>
          <t>fraction</t>
        </is>
      </c>
      <c r="D533" t="inlineStr">
        <is>
          <t>X-SAF-05 design margin on the sprinkler hydraulic demand (A-M-188)</t>
        </is>
      </c>
    </row>
    <row r="534">
      <c r="A534" t="inlineStr">
        <is>
          <t>fire_tank_refill_h</t>
        </is>
      </c>
      <c r="B534" s="4" t="n">
        <v>8</v>
      </c>
      <c r="C534" t="inlineStr">
        <is>
          <t>h to refill the reserve from the normal supply</t>
        </is>
      </c>
      <c r="E534" t="inlineStr">
        <is>
          <t>A-M-298</t>
        </is>
      </c>
      <c r="F534" t="b">
        <v>1</v>
      </c>
      <c r="G534" t="inlineStr">
        <is>
          <t>City/well fill-rate confirmation at X-BAS-03 (site utilities)</t>
        </is>
      </c>
    </row>
    <row r="535">
      <c r="A535" t="inlineStr">
        <is>
          <t>fire_tank_type</t>
        </is>
      </c>
      <c r="B535" s="4" t="inlineStr">
        <is>
          <t>gravity: water-tower dead storage (primary) + CATCH_TANK suction source for the pump (second supply)</t>
        </is>
      </c>
      <c r="C535" t="inlineStr">
        <is>
          <t>text</t>
        </is>
      </c>
      <c r="D535" t="inlineStr">
        <is>
          <t>NFPA22_2023</t>
        </is>
      </c>
    </row>
    <row r="536">
      <c r="A536" t="inlineStr">
        <is>
          <t>fire_zone_hazard</t>
        </is>
      </c>
      <c r="B536" s="4" t="inlineStr">
        <is>
          <t>{"H2/O2/CO2 receiver bays":"OH2 + NFPA 15 water spray","L-1 wet process":"OH2","L0 electrical rooms":"pre-action, OH2 void","L0 shops/pyrolysis/oils/reagents/genset/flow battery":"EH1","L1 HAB west half":"LH","L1 farm/digesters":"OH1","ZNBR2 enclosure":"OH2 + NFPA 855 purge"}</t>
        </is>
      </c>
      <c r="C536" t="inlineStr">
        <is>
          <t>NFPA 13 hazard class per zone</t>
        </is>
      </c>
      <c r="D536" t="inlineStr">
        <is>
          <t>NFPA13_2022</t>
        </is>
      </c>
    </row>
    <row r="537">
      <c r="A537" t="inlineStr">
        <is>
          <t>foundry_al_line_kg_d</t>
        </is>
      </c>
      <c r="B537" s="4" t="n">
        <v>8</v>
      </c>
      <c r="C537" t="inlineStr">
        <is>
          <t>kg/d Al stock (frames, housings)</t>
        </is>
      </c>
      <c r="E537" t="inlineStr">
        <is>
          <t>A-M-261 (AQS-SIZE-FOUNDRY consumable-replacement table line)</t>
        </is>
      </c>
    </row>
    <row r="538">
      <c r="A538" t="inlineStr">
        <is>
          <t>foundry_ca_add_frac</t>
        </is>
      </c>
      <c r="B538" s="4" t="n">
        <v>0.0015</v>
      </c>
      <c r="C538" t="inlineStr">
        <is>
          <t>kg Ca deoxidizer/desulfurizer per kg melt charge</t>
        </is>
      </c>
      <c r="D538" t="inlineStr">
        <is>
          <t>Ca treatment 0.10-0.20 % of charge class (steelmaking practice; the grease-thickener Ca(OH)2 draw of AQS-DUTY-GREASE rides the same line)</t>
        </is>
      </c>
      <c r="E538" t="inlineStr">
        <is>
          <t>A-M-284</t>
        </is>
      </c>
      <c r="F538" t="b">
        <v>1</v>
      </c>
      <c r="G538" t="inlineStr">
        <is>
          <t>first-article heats: Ca treatment recovery (O/S in the product) at 0.10-0.20 % of charge</t>
        </is>
      </c>
    </row>
    <row r="539">
      <c r="A539" t="inlineStr">
        <is>
          <t>foundry_cr_add_kg_d</t>
        </is>
      </c>
      <c r="B539" s="4" t="n">
        <v>0.2</v>
      </c>
      <c r="C539" t="inlineStr">
        <is>
          <t>kg/d Cr alloying addition (stainless line)</t>
        </is>
      </c>
      <c r="E539" t="inlineStr">
        <is>
          <t>A-M-261 (AQS-RATE-FP-MET line)</t>
        </is>
      </c>
    </row>
    <row r="540">
      <c r="A540" t="inlineStr">
        <is>
          <t>foundry_inv_line_kg_d</t>
        </is>
      </c>
      <c r="B540" s="4" t="n">
        <v>2</v>
      </c>
      <c r="C540" t="inlineStr">
        <is>
          <t>kg/d investment castings (complex parts, all alloys)</t>
        </is>
      </c>
      <c r="E540" t="inlineStr">
        <is>
          <t>A-M-261 (AQS-SIZE-FOUNDRY line)</t>
        </is>
      </c>
    </row>
    <row r="541">
      <c r="A541" t="inlineStr">
        <is>
          <t>foundry_inv_shell_kg_per_kg</t>
        </is>
      </c>
      <c r="B541" s="4" t="n">
        <v>4</v>
      </c>
      <c r="C541" t="inlineStr">
        <is>
          <t>kg green shell per kg casting (6-dip class; envelope 3-6)</t>
        </is>
      </c>
      <c r="E541" t="inlineStr">
        <is>
          <t>A-M-281</t>
        </is>
      </c>
      <c r="F541" t="b">
        <v>1</v>
      </c>
      <c r="G541" t="inlineStr">
        <is>
          <t>first shell campaign: built shell mass per kg castings across the 6-dip schedule</t>
        </is>
      </c>
    </row>
    <row r="542">
      <c r="A542" t="inlineStr">
        <is>
          <t>foundry_inv_shell_reclaim_frac</t>
        </is>
      </c>
      <c r="B542" s="4" t="n">
        <v>0.875</v>
      </c>
      <c r="C542" t="inlineStr">
        <is>
          <t>kg spent shell reclaimed to stucco/flour per kg spent shell</t>
        </is>
      </c>
      <c r="E542" t="inlineStr">
        <is>
          <t>A-M-281</t>
        </is>
      </c>
      <c r="F542" t="b">
        <v>1</v>
      </c>
      <c r="G542" t="inlineStr">
        <is>
          <t>knock-out sieve yield: reclaimed stucco vs 0.5 kg/kg make-up balance (AQS-SIZE-FOUNDRY shell-waste line)</t>
        </is>
      </c>
    </row>
    <row r="543">
      <c r="A543" t="inlineStr">
        <is>
          <t>foundry_inv_wax_kg_per_kg</t>
        </is>
      </c>
      <c r="B543" s="4" t="n">
        <v>1</v>
      </c>
      <c r="C543" t="inlineStr">
        <is>
          <t>kg wax pattern per kg casting (thin-wall cluster class)</t>
        </is>
      </c>
      <c r="E543" t="inlineStr">
        <is>
          <t>A-M-281</t>
        </is>
      </c>
      <c r="F543" t="b">
        <v>1</v>
      </c>
      <c r="G543" t="inlineStr">
        <is>
          <t>pattern weigh vs casting weigh on the first article cluster</t>
        </is>
      </c>
    </row>
    <row r="544">
      <c r="A544" t="inlineStr">
        <is>
          <t>foundry_inv_wax_reclaim_frac</t>
        </is>
      </c>
      <c r="B544" s="4" t="n">
        <v>0.9</v>
      </c>
      <c r="C544" t="inlineStr">
        <is>
          <t>kg dewax condensate reclaimed per kg wax pattern</t>
        </is>
      </c>
      <c r="E544" t="inlineStr">
        <is>
          <t>A-M-281</t>
        </is>
      </c>
      <c r="F544" t="b">
        <v>1</v>
      </c>
      <c r="G544" t="inlineStr">
        <is>
          <t>dewax condensate weigh per campaign vs the 10 % burn/loss allowance</t>
        </is>
      </c>
    </row>
    <row r="545">
      <c r="A545" t="inlineStr">
        <is>
          <t>foundry_kroll_dragout_frac</t>
        </is>
      </c>
      <c r="B545" s="4" t="n">
        <v>0.02</v>
      </c>
      <c r="C545" t="inlineStr">
        <is>
          <t>kg MgCl2-class salt drag-out per kg Kroll MgCl2 gross, to FLUX_PREP</t>
        </is>
      </c>
      <c r="E545" t="inlineStr">
        <is>
          <t>A-M-280</t>
        </is>
      </c>
      <c r="F545" t="b">
        <v>1</v>
      </c>
      <c r="G545" t="inlineStr">
        <is>
          <t>retort condensate weigh per campaign: salt drag-out vs the 2 % study allowance</t>
        </is>
      </c>
    </row>
    <row r="546">
      <c r="A546" t="inlineStr">
        <is>
          <t>foundry_melt_loss_frac</t>
        </is>
      </c>
      <c r="B546" s="4" t="n">
        <v>0.01</v>
      </c>
      <c r="C546" t="inlineStr">
        <is>
          <t>kg slag+dross per kg melt charge</t>
        </is>
      </c>
      <c r="D546" t="inlineStr">
        <is>
          <t>INDUCT_SOCX</t>
        </is>
      </c>
      <c r="E546" t="inlineStr">
        <is>
          <t>A-M-262</t>
        </is>
      </c>
      <c r="F546" t="b">
        <v>1</v>
      </c>
      <c r="G546" t="inlineStr">
        <is>
          <t>weigh dross+slag per heat on the IND_MELT first article</t>
        </is>
      </c>
    </row>
    <row r="547">
      <c r="A547" t="inlineStr">
        <is>
          <t>foundry_mo_add_kg_d</t>
        </is>
      </c>
      <c r="B547" s="4" t="n">
        <v>0.05</v>
      </c>
      <c r="C547" t="inlineStr">
        <is>
          <t>kg/d Mo alloying addition (316-class stainless line)</t>
        </is>
      </c>
      <c r="E547" t="inlineStr">
        <is>
          <t>A-M-261 (AQS-RATE-FP-MET line)</t>
        </is>
      </c>
    </row>
    <row r="548">
      <c r="A548" t="inlineStr">
        <is>
          <t>foundry_pot_ce</t>
        </is>
      </c>
      <c r="B548" s="4" t="n">
        <v>0.85</v>
      </c>
      <c r="C548" t="inlineStr">
        <is>
          <t>- current efficiency (Faraday) at the pot electrodes</t>
        </is>
      </c>
      <c r="D548" t="inlineStr">
        <is>
          <t>USBM_CL_EW</t>
        </is>
      </c>
      <c r="F548" t="b">
        <v>1</v>
      </c>
      <c r="G548" t="inlineStr">
        <is>
          <t>bench molten-chloride cell: deposit mass vs charge</t>
        </is>
      </c>
    </row>
    <row r="549">
      <c r="A549" t="inlineStr">
        <is>
          <t>foundry_pot_export_frac</t>
        </is>
      </c>
      <c r="B549" s="4" t="n">
        <v>0.25</v>
      </c>
      <c r="C549" t="inlineStr">
        <is>
          <t>kg/d export per kg/d internal line on the Al/Ti/Mo/Cr pot products</t>
        </is>
      </c>
      <c r="E549" t="inlineStr">
        <is>
          <t>A-M-284</t>
        </is>
      </c>
      <c r="F549" t="b">
        <v>1</v>
      </c>
      <c r="G549" t="inlineStr">
        <is>
          <t>metal dispatch study: contracted offtake vs the 25 % study margin (dock export meter totals)</t>
        </is>
      </c>
    </row>
    <row r="550">
      <c r="A550" t="inlineStr">
        <is>
          <t>foundry_pot_j_A_cm2</t>
        </is>
      </c>
      <c r="B550" s="4" t="n">
        <v>0.5</v>
      </c>
      <c r="C550" t="inlineStr">
        <is>
          <t>A/cm2 design anode current density (graphite, chloride melt)</t>
        </is>
      </c>
      <c r="E550" t="inlineStr">
        <is>
          <t>A-M-282</t>
        </is>
      </c>
      <c r="F550" t="b">
        <v>1</v>
      </c>
      <c r="G550" t="inlineStr">
        <is>
          <t>bench cell anode polarization at 0.3-0.8 A/cm2 (graphite consumption rate)</t>
        </is>
      </c>
    </row>
    <row r="551">
      <c r="A551" t="inlineStr">
        <is>
          <t>foundry_pot_voltage_V</t>
        </is>
      </c>
      <c r="B551" s="4" t="inlineStr">
        <is>
          <t>{"al":3.8,"ca":4.2,"cr":2.8,"mg":4.2,"mo":2.8}</t>
        </is>
      </c>
      <c r="C551" t="inlineStr">
        <is>
          <t>V cell terminal (decomposition + overpotential + bath ohmic)</t>
        </is>
      </c>
      <c r="E551" t="inlineStr">
        <is>
          <t>A-M-282</t>
        </is>
      </c>
      <c r="F551" t="b">
        <v>1</v>
      </c>
      <c r="G551" t="inlineStr">
        <is>
          <t>bench molten-chloride cell at the design current density: terminal voltage vs charge</t>
        </is>
      </c>
    </row>
    <row r="552">
      <c r="A552" t="inlineStr">
        <is>
          <t>foundry_ss_line_kg_d</t>
        </is>
      </c>
      <c r="B552" s="4" t="n">
        <v>1.5</v>
      </c>
      <c r="C552" t="inlineStr">
        <is>
          <t>kg/d stainless stock (Cr 0.20 + Mo 0.05 additions in an Fe base)</t>
        </is>
      </c>
      <c r="E552" t="inlineStr">
        <is>
          <t>A-M-261 (AQS-SIZE-FOUNDRY line)</t>
        </is>
      </c>
    </row>
    <row r="553">
      <c r="A553" t="inlineStr">
        <is>
          <t>foundry_stock_demand_kg_d</t>
        </is>
      </c>
      <c r="B553" s="4" t="n">
        <v>25.9</v>
      </c>
      <c r="C553" t="inlineStr">
        <is>
          <t>kg/d stock to MFG_SHOP (Cu 3 + Fe 10 + Zn/EW 1 + Al 8 + stainless 1.5 + Ti 0.40 + investment castings 2)</t>
        </is>
      </c>
      <c r="E553" t="inlineStr">
        <is>
          <t>A-M-261</t>
        </is>
      </c>
      <c r="F553" t="b">
        <v>1</v>
      </c>
      <c r="G553" t="inlineStr">
        <is>
          <t>shop article schedule at the first article: formed-stock draw vs the AQS-SIZE-FOUNDRY consumable-replacement table</t>
        </is>
      </c>
    </row>
    <row r="554">
      <c r="A554" t="inlineStr">
        <is>
          <t>foundry_ti_line_kg_d</t>
        </is>
      </c>
      <c r="B554" s="4" t="n">
        <v>0.4</v>
      </c>
      <c r="C554" t="inlineStr">
        <is>
          <t>kg/d Ti stock (anode mesh, shells)</t>
        </is>
      </c>
      <c r="E554" t="inlineStr">
        <is>
          <t>A-M-261 (AQS-RATE-FP-MET line)</t>
        </is>
      </c>
    </row>
    <row r="555">
      <c r="A555" t="inlineStr">
        <is>
          <t>gsh_bore_depth_m</t>
        </is>
      </c>
      <c r="B555" s="4" t="n">
        <v>120</v>
      </c>
      <c r="C555" t="inlineStr">
        <is>
          <t>m bore depth</t>
        </is>
      </c>
      <c r="E555" t="inlineStr">
        <is>
          <t>A-M-112</t>
        </is>
      </c>
      <c r="F555" t="b">
        <v>1</v>
      </c>
      <c r="G555" t="inlineStr">
        <is>
          <t>Drilling log</t>
        </is>
      </c>
    </row>
    <row r="556">
      <c r="A556" t="inlineStr">
        <is>
          <t>gsh_bore_m_per_kWt</t>
        </is>
      </c>
      <c r="B556" s="4" t="n">
        <v>55</v>
      </c>
      <c r="C556" t="inlineStr">
        <is>
          <t>m vertical bore per kW peak block load (mid of 43-65 m/kW typical range)</t>
        </is>
      </c>
      <c r="D556" t="inlineStr">
        <is>
          <t>KAVANAUGH2014</t>
        </is>
      </c>
      <c r="E556" t="inlineStr">
        <is>
          <t>A-M-112</t>
        </is>
      </c>
      <c r="F556" t="b">
        <v>1</v>
      </c>
      <c r="G556" t="inlineStr">
        <is>
          <t>Thermal response test and ASHRAE bore-length method</t>
        </is>
      </c>
    </row>
    <row r="557">
      <c r="A557" t="inlineStr">
        <is>
          <t>gsh_bore_spacing_m</t>
        </is>
      </c>
      <c r="B557" s="4" t="n">
        <v>6</v>
      </c>
      <c r="C557" t="inlineStr">
        <is>
          <t>m bore spacing</t>
        </is>
      </c>
      <c r="D557" t="inlineStr">
        <is>
          <t>KAVANAUGH2014</t>
        </is>
      </c>
      <c r="F557" t="b">
        <v>1</v>
      </c>
      <c r="G557" t="inlineStr">
        <is>
          <t>Bore-field simulation (g-functions)</t>
        </is>
      </c>
    </row>
    <row r="558">
      <c r="A558" t="inlineStr">
        <is>
          <t>gsh_cop_c</t>
        </is>
      </c>
      <c r="B558" s="4" t="n">
        <v>4.13</v>
      </c>
      <c r="C558" t="inlineStr">
        <is>
          <t>ground-source heat pump cooling COP (EER 14.1 at 25 C entering fluid, ISO 13256-1)</t>
        </is>
      </c>
      <c r="D558" t="inlineStr">
        <is>
          <t>ASHRAE901_2019_T6812</t>
        </is>
      </c>
      <c r="F558" t="b">
        <v>1</v>
      </c>
      <c r="G558" t="inlineStr">
        <is>
          <t>Selected unit rating at design loop temperature</t>
        </is>
      </c>
    </row>
    <row r="559">
      <c r="A559" t="inlineStr">
        <is>
          <t>gsh_cop_h</t>
        </is>
      </c>
      <c r="B559" s="4" t="n">
        <v>3.2</v>
      </c>
      <c r="C559" t="inlineStr">
        <is>
          <t>ground-source heat pump heating COP at 0 C entering fluid (ISO 13256-1)</t>
        </is>
      </c>
      <c r="D559" t="inlineStr">
        <is>
          <t>ASHRAE901_2019_T6812</t>
        </is>
      </c>
      <c r="F559" t="b">
        <v>1</v>
      </c>
      <c r="G559" t="inlineStr">
        <is>
          <t>Selected unit rating at design loop temperature</t>
        </is>
      </c>
    </row>
    <row r="560">
      <c r="A560" t="inlineStr">
        <is>
          <t>gsh_pump_W_per_kWt</t>
        </is>
      </c>
      <c r="B560" s="4" t="n">
        <v>37</v>
      </c>
      <c r="C560" t="inlineStr">
        <is>
          <t>W loop pumping per kW thermal (5 hp per 100 tons, Kavanaugh grade A)</t>
        </is>
      </c>
      <c r="D560" t="inlineStr">
        <is>
          <t>KAVANAUGH2014</t>
        </is>
      </c>
      <c r="F560" t="b">
        <v>1</v>
      </c>
      <c r="G560" t="inlineStr">
        <is>
          <t>Loop hydraulic design</t>
        </is>
      </c>
    </row>
    <row r="561">
      <c r="A561" t="inlineStr">
        <is>
          <t>gw_depth_m</t>
        </is>
      </c>
      <c r="B561" s="4" t="n">
        <v>0</v>
      </c>
      <c r="C561" t="inlineStr">
        <is>
          <t>m below grade, groundwater (worst case at grade until measured)</t>
        </is>
      </c>
      <c r="E561" t="inlineStr">
        <is>
          <t>A-M-208</t>
        </is>
      </c>
      <c r="F561" t="b">
        <v>1</v>
      </c>
      <c r="G561" t="inlineStr">
        <is>
          <t>Piezometer readings at the parcel through a wet season</t>
        </is>
      </c>
    </row>
    <row r="562">
      <c r="A562" t="inlineStr">
        <is>
          <t>h2_purge_frac_of_LFL</t>
        </is>
      </c>
      <c r="B562" s="4" t="n">
        <v>0.25</v>
      </c>
      <c r="C562" t="inlineStr">
        <is>
          <t>-</t>
        </is>
      </c>
      <c r="D562" t="inlineStr">
        <is>
          <t>NFPA69_2019</t>
        </is>
      </c>
    </row>
    <row r="563">
      <c r="A563" t="inlineStr">
        <is>
          <t>h2c_P1_bar</t>
        </is>
      </c>
      <c r="B563" s="4" t="n">
        <v>10</v>
      </c>
      <c r="C563" t="inlineStr">
        <is>
          <t>bar a suction (electrolyser outlet)</t>
        </is>
      </c>
      <c r="E563" t="inlineStr">
        <is>
          <t>A-M-169 (X-MFG-36 H2 compressor)</t>
        </is>
      </c>
      <c r="F563" t="b">
        <v>1</v>
      </c>
      <c r="G563" t="inlineStr">
        <is>
          <t>electrolyser outlet pressure log</t>
        </is>
      </c>
    </row>
    <row r="564">
      <c r="A564" t="inlineStr">
        <is>
          <t>h2c_P2_bar</t>
        </is>
      </c>
      <c r="B564" s="4" t="n">
        <v>200</v>
      </c>
      <c r="C564" t="inlineStr">
        <is>
          <t>bar a discharge (CRYO_H2 bank)</t>
        </is>
      </c>
      <c r="E564" t="inlineStr">
        <is>
          <t>A-M-169 (X-MFG-36 H2 compressor)</t>
        </is>
      </c>
      <c r="F564" t="b">
        <v>1</v>
      </c>
      <c r="G564" t="inlineStr">
        <is>
          <t>bank pressure log</t>
        </is>
      </c>
    </row>
    <row r="565">
      <c r="A565" t="inlineStr">
        <is>
          <t>h2c_T_out_max_C</t>
        </is>
      </c>
      <c r="B565" s="4" t="n">
        <v>135</v>
      </c>
      <c r="C565" t="inlineStr">
        <is>
          <t>C predicted stage discharge, hydrogen-rich service</t>
        </is>
      </c>
      <c r="D565" t="inlineStr">
        <is>
          <t>API618</t>
        </is>
      </c>
    </row>
    <row r="566">
      <c r="A566" t="inlineStr">
        <is>
          <t>h2c_cavity_h_mm</t>
        </is>
      </c>
      <c r="B566" s="4" t="n">
        <v>3</v>
      </c>
      <c r="C566" t="inlineStr">
        <is>
          <t>diaphragm cavity depth (spherical-cap profile)</t>
        </is>
      </c>
      <c r="E566" t="inlineStr">
        <is>
          <t>A-M-169 (X-MFG-36 H2 compressor)</t>
        </is>
      </c>
      <c r="F566" t="b">
        <v>1</v>
      </c>
      <c r="G566" t="inlineStr">
        <is>
          <t>cavity machining trial</t>
        </is>
      </c>
    </row>
    <row r="567">
      <c r="A567" t="inlineStr">
        <is>
          <t>h2c_cp_kJ_kgK</t>
        </is>
      </c>
      <c r="B567" s="4" t="n">
        <v>14.3</v>
      </c>
      <c r="C567" t="inlineStr">
        <is>
          <t>kJ/kg K, H2 at 300 K</t>
        </is>
      </c>
      <c r="D567" t="inlineStr">
        <is>
          <t>NIST_WEBBOOK</t>
        </is>
      </c>
    </row>
    <row r="568">
      <c r="A568" t="inlineStr">
        <is>
          <t>h2c_eta_ad</t>
        </is>
      </c>
      <c r="B568" s="4" t="n">
        <v>0.65</v>
      </c>
      <c r="C568" t="inlineStr">
        <is>
          <t>stage adiabatic efficiency incl. valve losses</t>
        </is>
      </c>
      <c r="E568" t="inlineStr">
        <is>
          <t>A-M-169 (X-MFG-36 H2 compressor)</t>
        </is>
      </c>
      <c r="F568" t="b">
        <v>1</v>
      </c>
      <c r="G568" t="inlineStr">
        <is>
          <t>bench run of the first-article head: indicator diagram and flow</t>
        </is>
      </c>
    </row>
    <row r="569">
      <c r="A569" t="inlineStr">
        <is>
          <t>h2c_eta_motor</t>
        </is>
      </c>
      <c r="B569" s="4" t="n">
        <v>0.9</v>
      </c>
      <c r="C569" t="inlineStr">
        <is>
          <t>motor and drive</t>
        </is>
      </c>
      <c r="E569" t="inlineStr">
        <is>
          <t>A-M-169 (X-MFG-36 H2 compressor)</t>
        </is>
      </c>
      <c r="F569" t="b">
        <v>1</v>
      </c>
      <c r="G569" t="inlineStr">
        <is>
          <t>motor test (AQS-INV-005 family)</t>
        </is>
      </c>
    </row>
    <row r="570">
      <c r="A570" t="inlineStr">
        <is>
          <t>h2c_eta_v</t>
        </is>
      </c>
      <c r="B570" s="4" t="n">
        <v>0.8</v>
      </c>
      <c r="C570" t="inlineStr">
        <is>
          <t>volumetric efficiency</t>
        </is>
      </c>
      <c r="E570" t="inlineStr">
        <is>
          <t>A-M-169 (X-MFG-36 H2 compressor)</t>
        </is>
      </c>
      <c r="F570" t="b">
        <v>1</v>
      </c>
      <c r="G570" t="inlineStr">
        <is>
          <t>same bench run</t>
        </is>
      </c>
    </row>
    <row r="571">
      <c r="A571" t="inlineStr">
        <is>
          <t>h2c_k</t>
        </is>
      </c>
      <c r="B571" s="4" t="n">
        <v>1.41</v>
      </c>
      <c r="C571" t="inlineStr">
        <is>
          <t>cp/cv H2 near ambient</t>
        </is>
      </c>
      <c r="D571" t="inlineStr">
        <is>
          <t>NIST_WEBBOOK</t>
        </is>
      </c>
    </row>
    <row r="572">
      <c r="A572" t="inlineStr">
        <is>
          <t>h2c_rpm</t>
        </is>
      </c>
      <c r="B572" s="4" t="n">
        <v>300</v>
      </c>
      <c r="C572" t="inlineStr">
        <is>
          <t>crank speed</t>
        </is>
      </c>
      <c r="E572" t="inlineStr">
        <is>
          <t>A-M-169 (X-MFG-36 H2 compressor)</t>
        </is>
      </c>
      <c r="F572" t="b">
        <v>1</v>
      </c>
      <c r="G572" t="inlineStr">
        <is>
          <t>same</t>
        </is>
      </c>
    </row>
    <row r="573">
      <c r="A573" t="inlineStr">
        <is>
          <t>h2c_run_h</t>
        </is>
      </c>
      <c r="B573" s="4" t="n">
        <v>8</v>
      </c>
      <c r="C573" t="inlineStr">
        <is>
          <t>h/d at full rate (follows the electrolyser on PV hours)</t>
        </is>
      </c>
      <c r="E573" t="inlineStr">
        <is>
          <t>A-M-169 (X-MFG-36 H2 compressor)</t>
        </is>
      </c>
      <c r="F573" t="b">
        <v>1</v>
      </c>
      <c r="G573" t="inlineStr">
        <is>
          <t>hourly electrolyser log</t>
        </is>
      </c>
    </row>
    <row r="574">
      <c r="A574" t="inlineStr">
        <is>
          <t>h2p_bed_margin</t>
        </is>
      </c>
      <c r="B574" s="4" t="n">
        <v>3</v>
      </c>
      <c r="C574" t="inlineStr">
        <is>
          <t>bed mass margin over the cycle load (mass-transfer zone, ageing)</t>
        </is>
      </c>
      <c r="E574" t="inlineStr">
        <is>
          <t>A-M-168 (X-MFG-39 H2_PURIFIER)</t>
        </is>
      </c>
      <c r="F574" t="b">
        <v>1</v>
      </c>
      <c r="G574" t="inlineStr">
        <is>
          <t>same</t>
        </is>
      </c>
    </row>
    <row r="575">
      <c r="A575" t="inlineStr">
        <is>
          <t>h2p_cycle_h</t>
        </is>
      </c>
      <c r="B575" s="4" t="n">
        <v>8</v>
      </c>
      <c r="C575" t="inlineStr">
        <is>
          <t>h adsorption half-cycle</t>
        </is>
      </c>
      <c r="E575" t="inlineStr">
        <is>
          <t>A-M-168 (X-MFG-39 H2_PURIFIER)</t>
        </is>
      </c>
      <c r="F575" t="b">
        <v>1</v>
      </c>
      <c r="G575" t="inlineStr">
        <is>
          <t>same</t>
        </is>
      </c>
    </row>
    <row r="576">
      <c r="A576" t="inlineStr">
        <is>
          <t>h2p_deoxo_ghsv_h</t>
        </is>
      </c>
      <c r="B576" s="4" t="n">
        <v>5000</v>
      </c>
      <c r="C576" t="inlineStr">
        <is>
          <t>1/h over Pd/Al2O3 deoxo</t>
        </is>
      </c>
      <c r="E576" t="inlineStr">
        <is>
          <t>A-M-168 (X-MFG-39 H2_PURIFIER)</t>
        </is>
      </c>
      <c r="F576" t="b">
        <v>1</v>
      </c>
      <c r="G576" t="inlineStr">
        <is>
          <t>outlet O2 below 5 ppm at the design rate on the first charge</t>
        </is>
      </c>
    </row>
    <row r="577">
      <c r="A577" t="inlineStr">
        <is>
          <t>h2p_guard_cap</t>
        </is>
      </c>
      <c r="B577" s="4" t="n">
        <v>0.1</v>
      </c>
      <c r="C577" t="inlineStr">
        <is>
          <t>kg HCl per kg promoted alumina</t>
        </is>
      </c>
      <c r="E577" t="inlineStr">
        <is>
          <t>A-M-168 (X-MFG-39 H2_PURIFIER)</t>
        </is>
      </c>
      <c r="F577" t="b">
        <v>1</v>
      </c>
      <c r="G577" t="inlineStr">
        <is>
          <t>breakthrough test on a sample of the guard charge</t>
        </is>
      </c>
    </row>
    <row r="578">
      <c r="A578" t="inlineStr">
        <is>
          <t>h2p_guard_days</t>
        </is>
      </c>
      <c r="B578" s="4" t="n">
        <v>90</v>
      </c>
      <c r="C578" t="inlineStr">
        <is>
          <t>d between guard change-outs</t>
        </is>
      </c>
      <c r="E578" t="inlineStr">
        <is>
          <t>A-M-168 (X-MFG-39 H2_PURIFIER)</t>
        </is>
      </c>
      <c r="F578" t="b">
        <v>1</v>
      </c>
      <c r="G578" t="inlineStr">
        <is>
          <t>same</t>
        </is>
      </c>
    </row>
    <row r="579">
      <c r="A579" t="inlineStr">
        <is>
          <t>h2p_hcl_ppmv</t>
        </is>
      </c>
      <c r="B579" s="4" t="n">
        <v>1</v>
      </c>
      <c r="C579" t="inlineStr">
        <is>
          <t>ppm v HCl in the feed (EW cathode gas trace)</t>
        </is>
      </c>
      <c r="E579" t="inlineStr">
        <is>
          <t>A-M-168 (X-MFG-39 H2_PURIFIER)</t>
        </is>
      </c>
      <c r="F579" t="b">
        <v>1</v>
      </c>
      <c r="G579" t="inlineStr">
        <is>
          <t>HCl sampling of S49 (Draeger tube or IC)</t>
        </is>
      </c>
    </row>
    <row r="580">
      <c r="A580" t="inlineStr">
        <is>
          <t>h2p_o2_ppmv</t>
        </is>
      </c>
      <c r="B580" s="4" t="n">
        <v>1000</v>
      </c>
      <c r="C580" t="inlineStr">
        <is>
          <t>ppm v O2 in the purifier feed</t>
        </is>
      </c>
      <c r="E580" t="inlineStr">
        <is>
          <t>A-M-168 (X-MFG-39 H2_PURIFIER)</t>
        </is>
      </c>
      <c r="F580" t="b">
        <v>1</v>
      </c>
      <c r="G580" t="inlineStr">
        <is>
          <t>O2 analyser on S49 in operation</t>
        </is>
      </c>
    </row>
    <row r="581">
      <c r="A581" t="inlineStr">
        <is>
          <t>h2p_regen_T_C</t>
        </is>
      </c>
      <c r="B581" s="4" t="n">
        <v>250</v>
      </c>
      <c r="C581" t="inlineStr">
        <is>
          <t>C TSA regeneration temperature</t>
        </is>
      </c>
      <c r="E581" t="inlineStr">
        <is>
          <t>A-M-168 (X-MFG-39 H2_PURIFIER)</t>
        </is>
      </c>
      <c r="F581" t="b">
        <v>1</v>
      </c>
      <c r="G581" t="inlineStr">
        <is>
          <t>same</t>
        </is>
      </c>
    </row>
    <row r="582">
      <c r="A582" t="inlineStr">
        <is>
          <t>h2p_sieve_work_cap</t>
        </is>
      </c>
      <c r="B582" s="4" t="n">
        <v>0.1</v>
      </c>
      <c r="C582" t="inlineStr">
        <is>
          <t>kg water per kg 4A/13X sieve, working capacity at the cycle</t>
        </is>
      </c>
      <c r="E582" t="inlineStr">
        <is>
          <t>A-M-168 (X-MFG-39 H2_PURIFIER)</t>
        </is>
      </c>
      <c r="F582" t="b">
        <v>1</v>
      </c>
      <c r="G582" t="inlineStr">
        <is>
          <t>breakthrough test on the sieve charge with a dew-point analyser</t>
        </is>
      </c>
    </row>
    <row r="583">
      <c r="A583" t="inlineStr">
        <is>
          <t>hcl_azeotrope_wt</t>
        </is>
      </c>
      <c r="B583" s="4" t="n">
        <v>0.202</v>
      </c>
      <c r="C583" t="inlineStr">
        <is>
          <t>mass fraction</t>
        </is>
      </c>
      <c r="D583" t="inlineStr">
        <is>
          <t>PERRY9_HCL</t>
        </is>
      </c>
    </row>
    <row r="584">
      <c r="A584" t="inlineStr">
        <is>
          <t>hcl_stoich</t>
        </is>
      </c>
      <c r="B584" s="4" t="inlineStr">
        <is>
          <t>{"Al2O3":6,"CaO":2,"FeO":2,"MgO":2}</t>
        </is>
      </c>
      <c r="C584" t="inlineStr">
        <is>
          <t>mol HCl per mol oxide</t>
        </is>
      </c>
      <c r="D584" t="inlineStr">
        <is>
          <t>GREENWOOD</t>
        </is>
      </c>
    </row>
    <row r="585">
      <c r="A585" t="inlineStr">
        <is>
          <t>heat_loop_dT_K</t>
        </is>
      </c>
      <c r="B585" s="4" t="n">
        <v>10</v>
      </c>
      <c r="C585" t="inlineStr">
        <is>
          <t>K</t>
        </is>
      </c>
      <c r="D585" t="inlineStr">
        <is>
          <t>ASHRAE_SYS2020</t>
        </is>
      </c>
    </row>
    <row r="586">
      <c r="A586" t="inlineStr">
        <is>
          <t>hpa_nozzle_L_min</t>
        </is>
      </c>
      <c r="B586" s="4" t="n">
        <v>0.0568</v>
      </c>
      <c r="C586" t="inlineStr">
        <is>
          <t>L/min</t>
        </is>
      </c>
      <c r="D586" t="inlineStr">
        <is>
          <t>HPA_PRACTICE</t>
        </is>
      </c>
    </row>
    <row r="587">
      <c r="A587" t="inlineStr">
        <is>
          <t>hpa_nozzles_m2</t>
        </is>
      </c>
      <c r="B587" s="4" t="n">
        <v>6</v>
      </c>
      <c r="C587" t="inlineStr">
        <is>
          <t>1/m2</t>
        </is>
      </c>
      <c r="D587" t="inlineStr">
        <is>
          <t>HPA_PRACTICE</t>
        </is>
      </c>
    </row>
    <row r="588">
      <c r="A588" t="inlineStr">
        <is>
          <t>hpa_off_s</t>
        </is>
      </c>
      <c r="B588" s="4" t="n">
        <v>240</v>
      </c>
      <c r="C588" t="inlineStr">
        <is>
          <t>s</t>
        </is>
      </c>
      <c r="D588" t="inlineStr">
        <is>
          <t>LAKHIAR2018</t>
        </is>
      </c>
    </row>
    <row r="589">
      <c r="A589" t="inlineStr">
        <is>
          <t>hpa_on_s</t>
        </is>
      </c>
      <c r="B589" s="4" t="n">
        <v>4</v>
      </c>
      <c r="C589" t="inlineStr">
        <is>
          <t>s</t>
        </is>
      </c>
      <c r="D589" t="inlineStr">
        <is>
          <t>LAKHIAR2018</t>
        </is>
      </c>
    </row>
    <row r="590">
      <c r="A590" t="inlineStr">
        <is>
          <t>hs_Cs_flood_m_s</t>
        </is>
      </c>
      <c r="B590" s="4" t="n">
        <v>0.07000000000000001</v>
      </c>
      <c r="C590" t="inlineStr">
        <is>
          <t>m/s capacity factor at flood, 25 mm cut rings</t>
        </is>
      </c>
      <c r="E590" t="inlineStr">
        <is>
          <t>A-M-164 (X-PAR-03 house scrubbers)</t>
        </is>
      </c>
      <c r="F590" t="b">
        <v>1</v>
      </c>
      <c r="G590" t="inlineStr">
        <is>
          <t>air-water flooding test of a 200 mm column of the in-house packing</t>
        </is>
      </c>
    </row>
    <row r="591">
      <c r="A591" t="inlineStr">
        <is>
          <t>hs_a_m2_m3</t>
        </is>
      </c>
      <c r="B591" s="4" t="n">
        <v>190</v>
      </c>
      <c r="C591" t="inlineStr">
        <is>
          <t>m2/m3 specific area of 25 mm cut rings</t>
        </is>
      </c>
      <c r="E591" t="inlineStr">
        <is>
          <t>A-M-164 (X-PAR-03 house scrubbers)</t>
        </is>
      </c>
      <c r="F591" t="b">
        <v>1</v>
      </c>
      <c r="G591" t="inlineStr">
        <is>
          <t>geometric area from the packing sample</t>
        </is>
      </c>
    </row>
    <row r="592">
      <c r="A592" t="inlineStr">
        <is>
          <t>hs_dP_Pa_m</t>
        </is>
      </c>
      <c r="B592" s="4" t="n">
        <v>400</v>
      </c>
      <c r="C592" t="inlineStr">
        <is>
          <t>Pa per m of bed at the design fraction of flood</t>
        </is>
      </c>
      <c r="E592" t="inlineStr">
        <is>
          <t>A-M-164 (X-PAR-03 house scrubbers)</t>
        </is>
      </c>
      <c r="F592" t="b">
        <v>1</v>
      </c>
      <c r="G592" t="inlineStr">
        <is>
          <t>pressure drop on the flooding test</t>
        </is>
      </c>
    </row>
    <row r="593">
      <c r="A593" t="inlineStr">
        <is>
          <t>hs_dp_mm</t>
        </is>
      </c>
      <c r="B593" s="4" t="n">
        <v>25</v>
      </c>
      <c r="C593" t="inlineStr">
        <is>
          <t>mm, in-house cut PP tube rings</t>
        </is>
      </c>
      <c r="E593" t="inlineStr">
        <is>
          <t>A-M-164 (X-PAR-03 house scrubbers)</t>
        </is>
      </c>
      <c r="F593" t="b">
        <v>1</v>
      </c>
      <c r="G593" t="inlineStr">
        <is>
          <t>in-house packing sample: count per m3 and void fraction</t>
        </is>
      </c>
    </row>
    <row r="594">
      <c r="A594" t="inlineStr">
        <is>
          <t>hs_fan_eff</t>
        </is>
      </c>
      <c r="B594" s="4" t="n">
        <v>0.5</v>
      </c>
      <c r="C594" t="inlineStr">
        <is>
          <t>fan total efficiency</t>
        </is>
      </c>
      <c r="E594" t="inlineStr">
        <is>
          <t>A-M-164 (X-PAR-03 house scrubbers)</t>
        </is>
      </c>
      <c r="F594" t="b">
        <v>1</v>
      </c>
      <c r="G594" t="inlineStr">
        <is>
          <t>fan test</t>
        </is>
      </c>
    </row>
    <row r="595">
      <c r="A595" t="inlineStr">
        <is>
          <t>hs_frac_flood</t>
        </is>
      </c>
      <c r="B595" s="4" t="n">
        <v>0.7</v>
      </c>
      <c r="C595" t="inlineStr">
        <is>
          <t>design fraction of flood</t>
        </is>
      </c>
      <c r="D595" t="inlineStr">
        <is>
          <t>PERRY9_ABS</t>
        </is>
      </c>
    </row>
    <row r="596">
      <c r="A596" t="inlineStr">
        <is>
          <t>hs_htu_m</t>
        </is>
      </c>
      <c r="B596" s="4" t="n">
        <v>0.5</v>
      </c>
      <c r="C596" t="inlineStr">
        <is>
          <t>m, overall gas HTU</t>
        </is>
      </c>
      <c r="E596" t="inlineStr">
        <is>
          <t>A-M-164 (X-PAR-03 house scrubbers)</t>
        </is>
      </c>
      <c r="F596" t="b">
        <v>1</v>
      </c>
      <c r="G596" t="inlineStr">
        <is>
          <t>absorption test (NH3 or SO2 in air into water) on the same column</t>
        </is>
      </c>
    </row>
    <row r="597">
      <c r="A597" t="inlineStr">
        <is>
          <t>hs_pump_eff</t>
        </is>
      </c>
      <c r="B597" s="4" t="n">
        <v>0.4</v>
      </c>
      <c r="C597" t="inlineStr">
        <is>
          <t>small pump efficiency</t>
        </is>
      </c>
      <c r="E597" t="inlineStr">
        <is>
          <t>A-M-164 (X-PAR-03 house scrubbers)</t>
        </is>
      </c>
      <c r="F597" t="b">
        <v>1</v>
      </c>
      <c r="G597" t="inlineStr">
        <is>
          <t>pump test</t>
        </is>
      </c>
    </row>
    <row r="598">
      <c r="A598" t="inlineStr">
        <is>
          <t>hs_pump_head_m</t>
        </is>
      </c>
      <c r="B598" s="4" t="n">
        <v>10</v>
      </c>
      <c r="C598" t="inlineStr">
        <is>
          <t>m recirculation pump head</t>
        </is>
      </c>
      <c r="E598" t="inlineStr">
        <is>
          <t>A-M-164 (X-PAR-03 house scrubbers)</t>
        </is>
      </c>
      <c r="F598" t="b">
        <v>1</v>
      </c>
      <c r="G598" t="inlineStr">
        <is>
          <t>pump test</t>
        </is>
      </c>
    </row>
    <row r="599">
      <c r="A599" t="inlineStr">
        <is>
          <t>hs_removal</t>
        </is>
      </c>
      <c r="B599" s="4" t="n">
        <v>0.99</v>
      </c>
      <c r="C599" t="inlineStr">
        <is>
          <t>fraction of the absorbable species removed</t>
        </is>
      </c>
      <c r="E599" t="inlineStr">
        <is>
          <t>A-M-164 (X-PAR-03 house scrubbers)</t>
        </is>
      </c>
      <c r="F599" t="b">
        <v>1</v>
      </c>
      <c r="G599" t="inlineStr">
        <is>
          <t>outlet sampling at commissioning</t>
        </is>
      </c>
    </row>
    <row r="600">
      <c r="A600" t="inlineStr">
        <is>
          <t>hvap_ammonia_MJ_kg</t>
        </is>
      </c>
      <c r="B600" s="4" t="n">
        <v>1.37</v>
      </c>
      <c r="C600" t="inlineStr">
        <is>
          <t>MJ/kg</t>
        </is>
      </c>
      <c r="D600" t="inlineStr">
        <is>
          <t>NIST_WEBBOOK</t>
        </is>
      </c>
    </row>
    <row r="601">
      <c r="A601" t="inlineStr">
        <is>
          <t>hvap_ethanol_MJ_kg</t>
        </is>
      </c>
      <c r="B601" s="4" t="n">
        <v>0.85</v>
      </c>
      <c r="C601" t="inlineStr">
        <is>
          <t>MJ/kg</t>
        </is>
      </c>
      <c r="D601" t="inlineStr">
        <is>
          <t>NIST_WEBBOOK</t>
        </is>
      </c>
    </row>
    <row r="602">
      <c r="A602" t="inlineStr">
        <is>
          <t>hvap_methanol_MJ_kg</t>
        </is>
      </c>
      <c r="B602" s="4" t="n">
        <v>1.1</v>
      </c>
      <c r="C602" t="inlineStr">
        <is>
          <t>MJ/kg</t>
        </is>
      </c>
      <c r="D602" t="inlineStr">
        <is>
          <t>NIST_WEBBOOK</t>
        </is>
      </c>
    </row>
    <row r="603">
      <c r="A603" t="inlineStr">
        <is>
          <t>hydro_eta_pump</t>
        </is>
      </c>
      <c r="B603" s="4" t="n">
        <v>0.85</v>
      </c>
      <c r="C603" t="inlineStr">
        <is>
          <t>-</t>
        </is>
      </c>
      <c r="D603" t="inlineStr">
        <is>
          <t>DOE_PSH</t>
        </is>
      </c>
    </row>
    <row r="604">
      <c r="A604" t="inlineStr">
        <is>
          <t>hydro_eta_turbine</t>
        </is>
      </c>
      <c r="B604" s="4" t="n">
        <v>0.8</v>
      </c>
      <c r="C604" t="inlineStr">
        <is>
          <t>-</t>
        </is>
      </c>
      <c r="D604" t="inlineStr">
        <is>
          <t>DOE_PSH</t>
        </is>
      </c>
    </row>
    <row r="605">
      <c r="A605" t="inlineStr">
        <is>
          <t>ifc_array_max_mm</t>
        </is>
      </c>
      <c r="B605" s="4" t="n">
        <v>45720</v>
      </c>
      <c r="C605" t="inlineStr">
        <is>
          <t>mm</t>
        </is>
      </c>
      <c r="D605" t="inlineStr">
        <is>
          <t>IFC2021_1205</t>
        </is>
      </c>
      <c r="F605" t="b">
        <v>1</v>
      </c>
      <c r="G605" t="inlineStr">
        <is>
          <t>AHJ fire-code review</t>
        </is>
      </c>
    </row>
    <row r="606">
      <c r="A606" t="inlineStr">
        <is>
          <t>ifc_axis_limit_mm</t>
        </is>
      </c>
      <c r="B606" s="4" t="n">
        <v>76200</v>
      </c>
      <c r="C606" t="inlineStr">
        <is>
          <t>mm</t>
        </is>
      </c>
      <c r="D606" t="inlineStr">
        <is>
          <t>IFC2021_1205</t>
        </is>
      </c>
      <c r="F606" t="b">
        <v>1</v>
      </c>
      <c r="G606" t="inlineStr">
        <is>
          <t>AHJ fire-code review</t>
        </is>
      </c>
    </row>
    <row r="607">
      <c r="A607" t="inlineStr">
        <is>
          <t>ifc_path_mm</t>
        </is>
      </c>
      <c r="B607" s="4" t="n">
        <v>1219</v>
      </c>
      <c r="C607" t="inlineStr">
        <is>
          <t>mm</t>
        </is>
      </c>
      <c r="D607" t="inlineStr">
        <is>
          <t>IFC2021_1205</t>
        </is>
      </c>
      <c r="F607" t="b">
        <v>1</v>
      </c>
      <c r="G607" t="inlineStr">
        <is>
          <t>AHJ fire-code review</t>
        </is>
      </c>
    </row>
    <row r="608">
      <c r="A608" t="inlineStr">
        <is>
          <t>ifc_perim_large_mm</t>
        </is>
      </c>
      <c r="B608" s="4" t="n">
        <v>1829</v>
      </c>
      <c r="C608" t="inlineStr">
        <is>
          <t>mm</t>
        </is>
      </c>
      <c r="D608" t="inlineStr">
        <is>
          <t>IFC2021_1205</t>
        </is>
      </c>
      <c r="F608" t="b">
        <v>1</v>
      </c>
      <c r="G608" t="inlineStr">
        <is>
          <t>AHJ fire-code review</t>
        </is>
      </c>
    </row>
    <row r="609">
      <c r="A609" t="inlineStr">
        <is>
          <t>ifc_perim_small_mm</t>
        </is>
      </c>
      <c r="B609" s="4" t="n">
        <v>1219</v>
      </c>
      <c r="C609" t="inlineStr">
        <is>
          <t>mm</t>
        </is>
      </c>
      <c r="D609" t="inlineStr">
        <is>
          <t>IFC2021_1205</t>
        </is>
      </c>
      <c r="F609" t="b">
        <v>1</v>
      </c>
      <c r="G609" t="inlineStr">
        <is>
          <t>AHJ fire-code review</t>
        </is>
      </c>
    </row>
    <row r="610">
      <c r="A610" t="inlineStr">
        <is>
          <t>ins_RH</t>
        </is>
      </c>
      <c r="B610" s="4" t="n">
        <v>0.6</v>
      </c>
      <c r="C610" t="inlineStr">
        <is>
          <t>-</t>
        </is>
      </c>
      <c r="E610" t="inlineStr">
        <is>
          <t>A-M-158</t>
        </is>
      </c>
      <c r="F610" t="b">
        <v>1</v>
      </c>
      <c r="G610" t="inlineStr">
        <is>
          <t>see A-M-158</t>
        </is>
      </c>
    </row>
    <row r="611">
      <c r="A611" t="inlineStr">
        <is>
          <t>ins_ambient_C</t>
        </is>
      </c>
      <c r="B611" s="4" t="n">
        <v>25</v>
      </c>
      <c r="C611" t="inlineStr">
        <is>
          <t>C</t>
        </is>
      </c>
      <c r="E611" t="inlineStr">
        <is>
          <t>A-M-158</t>
        </is>
      </c>
      <c r="F611" t="b">
        <v>1</v>
      </c>
      <c r="G611" t="inlineStr">
        <is>
          <t>see A-M-158</t>
        </is>
      </c>
    </row>
    <row r="612">
      <c r="A612" t="inlineStr">
        <is>
          <t>ins_h_surface_W_m2K</t>
        </is>
      </c>
      <c r="B612" s="4" t="n">
        <v>10</v>
      </c>
      <c r="C612" t="inlineStr">
        <is>
          <t>W/(m2 K) combined outer coefficient</t>
        </is>
      </c>
      <c r="E612" t="inlineStr">
        <is>
          <t>A-M-158</t>
        </is>
      </c>
      <c r="F612" t="b">
        <v>1</v>
      </c>
      <c r="G612" t="inlineStr">
        <is>
          <t>see A-M-158</t>
        </is>
      </c>
    </row>
    <row r="613">
      <c r="A613" t="inlineStr">
        <is>
          <t>ins_hot_surface_max_C</t>
        </is>
      </c>
      <c r="B613" s="4" t="n">
        <v>50</v>
      </c>
      <c r="C613" t="inlineStr">
        <is>
          <t>C (below the ASTM C1055 60 C contact threshold)</t>
        </is>
      </c>
      <c r="E613" t="inlineStr">
        <is>
          <t>A-M-158</t>
        </is>
      </c>
      <c r="F613" t="b">
        <v>1</v>
      </c>
      <c r="G613" t="inlineStr">
        <is>
          <t>see A-M-158</t>
        </is>
      </c>
    </row>
    <row r="614">
      <c r="A614" t="inlineStr">
        <is>
          <t>ins_hot_threshold_C</t>
        </is>
      </c>
      <c r="B614" s="4" t="n">
        <v>50</v>
      </c>
      <c r="C614" t="inlineStr">
        <is>
          <t>C, lines above are insulated</t>
        </is>
      </c>
      <c r="E614" t="inlineStr">
        <is>
          <t>A-M-158</t>
        </is>
      </c>
      <c r="F614" t="b">
        <v>1</v>
      </c>
      <c r="G614" t="inlineStr">
        <is>
          <t>see A-M-158</t>
        </is>
      </c>
    </row>
    <row r="615">
      <c r="A615" t="inlineStr">
        <is>
          <t>ins_k_elast</t>
        </is>
      </c>
      <c r="B615" s="4" t="n">
        <v>0.04</v>
      </c>
      <c r="C615" t="inlineStr">
        <is>
          <t>W/(m K) elastomeric (C534 max)</t>
        </is>
      </c>
      <c r="E615" t="inlineStr">
        <is>
          <t>A-M-158</t>
        </is>
      </c>
      <c r="F615" t="b">
        <v>1</v>
      </c>
      <c r="G615" t="inlineStr">
        <is>
          <t>see A-M-158</t>
        </is>
      </c>
    </row>
    <row r="616">
      <c r="A616" t="inlineStr">
        <is>
          <t>ins_k_mw_a</t>
        </is>
      </c>
      <c r="B616" s="4" t="n">
        <v>0.037</v>
      </c>
      <c r="C616" t="inlineStr">
        <is>
          <t>W/(m K) mineral wool k at 0 C mean</t>
        </is>
      </c>
      <c r="E616" t="inlineStr">
        <is>
          <t>A-M-158</t>
        </is>
      </c>
      <c r="F616" t="b">
        <v>1</v>
      </c>
      <c r="G616" t="inlineStr">
        <is>
          <t>see A-M-158</t>
        </is>
      </c>
    </row>
    <row r="617">
      <c r="A617" t="inlineStr">
        <is>
          <t>ins_k_mw_b</t>
        </is>
      </c>
      <c r="B617" s="4" t="n">
        <v>0.00017</v>
      </c>
      <c r="C617" t="inlineStr">
        <is>
          <t>W/(m K2) slope</t>
        </is>
      </c>
      <c r="E617" t="inlineStr">
        <is>
          <t>A-M-158</t>
        </is>
      </c>
      <c r="F617" t="b">
        <v>1</v>
      </c>
      <c r="G617" t="inlineStr">
        <is>
          <t>see A-M-158</t>
        </is>
      </c>
    </row>
    <row r="618">
      <c r="A618" t="inlineStr">
        <is>
          <t>ins_loss_frac_of_duty</t>
        </is>
      </c>
      <c r="B618" s="4" t="n">
        <v>0.1</v>
      </c>
      <c r="C618" t="inlineStr">
        <is>
          <t>-</t>
        </is>
      </c>
      <c r="E618" t="inlineStr">
        <is>
          <t>A-M-158</t>
        </is>
      </c>
      <c r="F618" t="b">
        <v>1</v>
      </c>
      <c r="G618" t="inlineStr">
        <is>
          <t>see A-M-158</t>
        </is>
      </c>
    </row>
    <row r="619">
      <c r="A619" t="inlineStr">
        <is>
          <t>ix_cycle_h</t>
        </is>
      </c>
      <c r="B619" s="4" t="n">
        <v>24</v>
      </c>
      <c r="C619" t="inlineStr">
        <is>
          <t>h between regenerations</t>
        </is>
      </c>
      <c r="E619" t="inlineStr">
        <is>
          <t>A-M-162 (X-PAR-14)</t>
        </is>
      </c>
      <c r="F619" t="b">
        <v>1</v>
      </c>
      <c r="G619" t="inlineStr">
        <is>
          <t>same breakthrough test</t>
        </is>
      </c>
    </row>
    <row r="620">
      <c r="A620" t="inlineStr">
        <is>
          <t>ix_sba_cap_eq_L</t>
        </is>
      </c>
      <c r="B620" s="4" t="n">
        <v>1.2</v>
      </c>
      <c r="C620" t="inlineStr">
        <is>
          <t>eq/L bed</t>
        </is>
      </c>
      <c r="D620" t="inlineStr">
        <is>
          <t>PERRY9_IX</t>
        </is>
      </c>
    </row>
    <row r="621">
      <c r="A621" t="inlineStr">
        <is>
          <t>ix_util</t>
        </is>
      </c>
      <c r="B621" s="4" t="n">
        <v>0.5</v>
      </c>
      <c r="C621" t="inlineStr">
        <is>
          <t>fraction of total capacity used per cycle</t>
        </is>
      </c>
      <c r="E621" t="inlineStr">
        <is>
          <t>A-M-162 (X-PAR-14)</t>
        </is>
      </c>
      <c r="F621" t="b">
        <v>1</v>
      </c>
      <c r="G621" t="inlineStr">
        <is>
          <t>breakthrough curve of [Bmim]Cl on the OH-form resin at the plant rate</t>
        </is>
      </c>
    </row>
    <row r="622">
      <c r="A622" t="inlineStr">
        <is>
          <t>led_efficacy_umol_J</t>
        </is>
      </c>
      <c r="B622" s="4" t="n">
        <v>2.8</v>
      </c>
      <c r="C622" t="inlineStr">
        <is>
          <t>umol/J</t>
        </is>
      </c>
      <c r="E622" t="inlineStr">
        <is>
          <t>A-M-133</t>
        </is>
      </c>
      <c r="F622" t="b">
        <v>1</v>
      </c>
      <c r="G622" t="inlineStr">
        <is>
          <t>see A-M-133</t>
        </is>
      </c>
    </row>
    <row r="623">
      <c r="A623" t="inlineStr">
        <is>
          <t>line_min_DN</t>
        </is>
      </c>
      <c r="B623" s="4" t="n">
        <v>15</v>
      </c>
      <c r="C623" t="inlineStr">
        <is>
          <t>DN</t>
        </is>
      </c>
      <c r="D623" t="inlineStr">
        <is>
          <t>smallest DN in AQS-PIP-003 classes</t>
        </is>
      </c>
    </row>
    <row r="624">
      <c r="A624" t="inlineStr">
        <is>
          <t>line_velocity_gas_m_s</t>
        </is>
      </c>
      <c r="B624" s="4" t="n">
        <v>10</v>
      </c>
      <c r="C624" t="inlineStr">
        <is>
          <t>m/s</t>
        </is>
      </c>
      <c r="D624" t="inlineStr">
        <is>
          <t>PERRY9</t>
        </is>
      </c>
    </row>
    <row r="625">
      <c r="A625" t="inlineStr">
        <is>
          <t>line_velocity_liquid_m_s</t>
        </is>
      </c>
      <c r="B625" s="4" t="n">
        <v>1</v>
      </c>
      <c r="C625" t="inlineStr">
        <is>
          <t>m/s</t>
        </is>
      </c>
      <c r="D625" t="inlineStr">
        <is>
          <t>PERRY9</t>
        </is>
      </c>
    </row>
    <row r="626">
      <c r="A626" t="inlineStr">
        <is>
          <t>maint_insert_life_y</t>
        </is>
      </c>
      <c r="B626" s="4" t="inlineStr">
        <is>
          <t>{"ACEX":3,"ALD":2,"BMED_ACID":5,"BMED_BASE":5,"BMED_UPW_POLISH":5,"CRYO_ASU":5,"CRYO_H2":2,"FORM":1,"H2_PURIFIER":3,"HNO3":0.5,"MEAM":2,"MEOH_SYNTH":3,"ZNBR2":5}</t>
        </is>
      </c>
      <c r="C626" t="inlineStr">
        <is>
          <t>years between replacements of the consumable insert of each unit (membranes, sorbent, catalyst, gauze, resin, diaphragms, stack)</t>
        </is>
      </c>
      <c r="E626" t="inlineStr">
        <is>
          <t>A-M-189</t>
        </is>
      </c>
      <c r="F626" t="b">
        <v>1</v>
      </c>
      <c r="G626" t="inlineStr">
        <is>
          <t>Performance trending from the first operating year (pressure drop, conversion, current efficiency, breakthrough) sets the interval</t>
        </is>
      </c>
    </row>
    <row r="627">
      <c r="A627" t="inlineStr">
        <is>
          <t>maint_rotating</t>
        </is>
      </c>
      <c r="B627" s="4" t="inlineStr">
        <is>
          <t>{"bearing_y":5,"lube_mo":6,"seal_y":3,"vibration_mo":3}</t>
        </is>
      </c>
      <c r="C627" t="inlineStr">
        <is>
          <t>months/years for motors, pumps, fans and compressors</t>
        </is>
      </c>
      <c r="E627" t="inlineStr">
        <is>
          <t>A-M-189</t>
        </is>
      </c>
      <c r="F627" t="b">
        <v>1</v>
      </c>
      <c r="G627" t="inlineStr">
        <is>
          <t>Vibration and temperature trending; bearing L10 life from the motor design load</t>
        </is>
      </c>
    </row>
    <row r="628">
      <c r="A628" t="inlineStr">
        <is>
          <t>melt_L_kJ_kg</t>
        </is>
      </c>
      <c r="B628" s="4" t="n">
        <v>208.7</v>
      </c>
      <c r="C628" t="inlineStr">
        <is>
          <t>kJ/kg Cu fusion</t>
        </is>
      </c>
      <c r="D628" t="inlineStr">
        <is>
          <t>CRC_CU</t>
        </is>
      </c>
    </row>
    <row r="629">
      <c r="A629" t="inlineStr">
        <is>
          <t>melt_al_L_kJ_kg</t>
        </is>
      </c>
      <c r="B629" s="4" t="n">
        <v>397.3</v>
      </c>
      <c r="C629" t="inlineStr">
        <is>
          <t>kJ/kg Al fusion (10.7 kJ/mol)</t>
        </is>
      </c>
      <c r="D629" t="inlineStr">
        <is>
          <t>CRC_AL</t>
        </is>
      </c>
    </row>
    <row r="630">
      <c r="A630" t="inlineStr">
        <is>
          <t>melt_al_cp_liq_kJ_kgK</t>
        </is>
      </c>
      <c r="B630" s="4" t="n">
        <v>1.18</v>
      </c>
      <c r="C630" t="inlineStr">
        <is>
          <t>kJ/kg K liquid Al</t>
        </is>
      </c>
      <c r="D630" t="inlineStr">
        <is>
          <t>CRC_AL</t>
        </is>
      </c>
    </row>
    <row r="631">
      <c r="A631" t="inlineStr">
        <is>
          <t>melt_al_cp_solid_kJ_kgK</t>
        </is>
      </c>
      <c r="B631" s="4" t="n">
        <v>1.05</v>
      </c>
      <c r="C631" t="inlineStr">
        <is>
          <t>kJ/kg K mean Al 25-660 C</t>
        </is>
      </c>
      <c r="D631" t="inlineStr">
        <is>
          <t>CRC_AL</t>
        </is>
      </c>
    </row>
    <row r="632">
      <c r="A632" t="inlineStr">
        <is>
          <t>melt_charge_kg</t>
        </is>
      </c>
      <c r="B632" s="4" t="n">
        <v>10</v>
      </c>
      <c r="C632" t="inlineStr">
        <is>
          <t>kg crucible charge (two heats a day cover the need)</t>
        </is>
      </c>
      <c r="E632" t="inlineStr">
        <is>
          <t>A-M-177</t>
        </is>
      </c>
    </row>
    <row r="633">
      <c r="A633" t="inlineStr">
        <is>
          <t>melt_cp_liq_kJ_kgK</t>
        </is>
      </c>
      <c r="B633" s="4" t="n">
        <v>0.516</v>
      </c>
      <c r="C633" t="inlineStr">
        <is>
          <t>kJ/kg K liquid Cu</t>
        </is>
      </c>
      <c r="D633" t="inlineStr">
        <is>
          <t>CRC_CU</t>
        </is>
      </c>
    </row>
    <row r="634">
      <c r="A634" t="inlineStr">
        <is>
          <t>melt_cp_solid_kJ_kgK</t>
        </is>
      </c>
      <c r="B634" s="4" t="n">
        <v>0.43</v>
      </c>
      <c r="C634" t="inlineStr">
        <is>
          <t>kJ/kg K mean Cu 25-1085 C</t>
        </is>
      </c>
      <c r="D634" t="inlineStr">
        <is>
          <t>CRC_CU</t>
        </is>
      </c>
    </row>
    <row r="635">
      <c r="A635" t="inlineStr">
        <is>
          <t>melt_eta</t>
        </is>
      </c>
      <c r="B635" s="4" t="n">
        <v>0.55</v>
      </c>
      <c r="C635" t="inlineStr">
        <is>
          <t>- coreless induction furnace, coil to melt</t>
        </is>
      </c>
      <c r="E635" t="inlineStr">
        <is>
          <t>A-M-177</t>
        </is>
      </c>
      <c r="F635" t="b">
        <v>1</v>
      </c>
      <c r="G635" t="inlineStr">
        <is>
          <t>Trial run on the first article (X-MFG-37)</t>
        </is>
      </c>
    </row>
    <row r="636">
      <c r="A636" t="inlineStr">
        <is>
          <t>melt_fe_L_kJ_kg</t>
        </is>
      </c>
      <c r="B636" s="4" t="n">
        <v>247</v>
      </c>
      <c r="C636" t="inlineStr">
        <is>
          <t>kJ/kg Fe fusion</t>
        </is>
      </c>
      <c r="D636" t="inlineStr">
        <is>
          <t>CRC_FE</t>
        </is>
      </c>
    </row>
    <row r="637">
      <c r="A637" t="inlineStr">
        <is>
          <t>melt_fe_cp_liq_kJ_kgK</t>
        </is>
      </c>
      <c r="B637" s="4" t="n">
        <v>0.82</v>
      </c>
      <c r="C637" t="inlineStr">
        <is>
          <t>kJ/kg K liquid Fe</t>
        </is>
      </c>
      <c r="D637" t="inlineStr">
        <is>
          <t>CRC_FE</t>
        </is>
      </c>
    </row>
    <row r="638">
      <c r="A638" t="inlineStr">
        <is>
          <t>melt_fe_cp_solid_kJ_kgK</t>
        </is>
      </c>
      <c r="B638" s="4" t="n">
        <v>0.49</v>
      </c>
      <c r="C638" t="inlineStr">
        <is>
          <t>kJ/kg K mean Fe 25-1538 C</t>
        </is>
      </c>
      <c r="D638" t="inlineStr">
        <is>
          <t>CRC_FE</t>
        </is>
      </c>
    </row>
    <row r="639">
      <c r="A639" t="inlineStr">
        <is>
          <t>melt_hold_kW</t>
        </is>
      </c>
      <c r="B639" s="4" t="n">
        <v>0.5</v>
      </c>
      <c r="C639" t="inlineStr">
        <is>
          <t>kW holding loss while tapping</t>
        </is>
      </c>
      <c r="E639" t="inlineStr">
        <is>
          <t>A-M-177</t>
        </is>
      </c>
    </row>
    <row r="640">
      <c r="A640" t="inlineStr">
        <is>
          <t>melt_superheat_K</t>
        </is>
      </c>
      <c r="B640" s="4" t="n">
        <v>100</v>
      </c>
      <c r="C640" t="inlineStr">
        <is>
          <t>K above liquidus at tap</t>
        </is>
      </c>
      <c r="E640" t="inlineStr">
        <is>
          <t>A-M-177</t>
        </is>
      </c>
    </row>
    <row r="641">
      <c r="A641" t="inlineStr">
        <is>
          <t>melt_ti_L_kJ_kg</t>
        </is>
      </c>
      <c r="B641" s="4" t="n">
        <v>295.7</v>
      </c>
      <c r="C641" t="inlineStr">
        <is>
          <t>kJ/kg Ti fusion (14.15 kJ/mol)</t>
        </is>
      </c>
      <c r="D641" t="inlineStr">
        <is>
          <t>CRC_TI</t>
        </is>
      </c>
    </row>
    <row r="642">
      <c r="A642" t="inlineStr">
        <is>
          <t>melt_ti_cp_liq_kJ_kgK</t>
        </is>
      </c>
      <c r="B642" s="4" t="n">
        <v>0.7</v>
      </c>
      <c r="C642" t="inlineStr">
        <is>
          <t>kJ/kg K liquid Ti</t>
        </is>
      </c>
      <c r="D642" t="inlineStr">
        <is>
          <t>CRC_TI</t>
        </is>
      </c>
    </row>
    <row r="643">
      <c r="A643" t="inlineStr">
        <is>
          <t>melt_ti_cp_solid_kJ_kgK</t>
        </is>
      </c>
      <c r="B643" s="4" t="n">
        <v>0.68</v>
      </c>
      <c r="C643" t="inlineStr">
        <is>
          <t>kJ/kg K mean Ti 25-1668 C</t>
        </is>
      </c>
      <c r="D643" t="inlineStr">
        <is>
          <t>CRC_TI</t>
        </is>
      </c>
    </row>
    <row r="644">
      <c r="A644" t="inlineStr">
        <is>
          <t>melt_time_h</t>
        </is>
      </c>
      <c r="B644" s="4" t="n">
        <v>0.5</v>
      </c>
      <c r="C644" t="inlineStr">
        <is>
          <t>h melt time per heat</t>
        </is>
      </c>
      <c r="E644" t="inlineStr">
        <is>
          <t>A-M-177</t>
        </is>
      </c>
    </row>
    <row r="645">
      <c r="A645" t="inlineStr">
        <is>
          <t>melt_zn_L_kJ_kg</t>
        </is>
      </c>
      <c r="B645" s="4" t="n">
        <v>112</v>
      </c>
      <c r="C645" t="inlineStr">
        <is>
          <t>kJ/kg Zn fusion</t>
        </is>
      </c>
      <c r="D645" t="inlineStr">
        <is>
          <t>CRC_ZN</t>
        </is>
      </c>
    </row>
    <row r="646">
      <c r="A646" t="inlineStr">
        <is>
          <t>melt_zn_cp_liq_kJ_kgK</t>
        </is>
      </c>
      <c r="B646" s="4" t="n">
        <v>0.48</v>
      </c>
      <c r="C646" t="inlineStr">
        <is>
          <t>kJ/kg K liquid Zn</t>
        </is>
      </c>
      <c r="D646" t="inlineStr">
        <is>
          <t>CRC_ZN</t>
        </is>
      </c>
    </row>
    <row r="647">
      <c r="A647" t="inlineStr">
        <is>
          <t>melt_zn_cp_solid_kJ_kgK</t>
        </is>
      </c>
      <c r="B647" s="4" t="n">
        <v>0.4</v>
      </c>
      <c r="C647" t="inlineStr">
        <is>
          <t>kJ/kg K mean Zn 25-419.5 C</t>
        </is>
      </c>
      <c r="D647" t="inlineStr">
        <is>
          <t>CRC_ZN</t>
        </is>
      </c>
    </row>
    <row r="648">
      <c r="A648" t="inlineStr">
        <is>
          <t>meoh_S_MPa</t>
        </is>
      </c>
      <c r="B648" s="4" t="n">
        <v>118</v>
      </c>
      <c r="C648" t="inlineStr">
        <is>
          <t>MPa, SA-106 B at 260 C</t>
        </is>
      </c>
      <c r="D648" t="inlineStr">
        <is>
          <t>ASME_II_D</t>
        </is>
      </c>
    </row>
    <row r="649">
      <c r="A649" t="inlineStr">
        <is>
          <t>meoh_cat_bulk_kg_L</t>
        </is>
      </c>
      <c r="B649" s="4" t="n">
        <v>1.1</v>
      </c>
      <c r="C649" t="inlineStr">
        <is>
          <t>kg/L</t>
        </is>
      </c>
      <c r="E649" t="inlineStr">
        <is>
          <t>A-M-156</t>
        </is>
      </c>
      <c r="F649" t="b">
        <v>1</v>
      </c>
      <c r="G649" t="inlineStr">
        <is>
          <t>see A-M-156</t>
        </is>
      </c>
    </row>
    <row r="650">
      <c r="A650" t="inlineStr">
        <is>
          <t>meoh_dH_kJ_mol</t>
        </is>
      </c>
      <c r="B650" s="4" t="n">
        <v>49.5</v>
      </c>
      <c r="C650" t="inlineStr">
        <is>
          <t>kJ/mol released, CO2 + 3 H2 -&gt; CH3OH + H2O(g)</t>
        </is>
      </c>
      <c r="D650" t="inlineStr">
        <is>
          <t>NIST_WEBBOOK</t>
        </is>
      </c>
    </row>
    <row r="651">
      <c r="A651" t="inlineStr">
        <is>
          <t>meoh_wty_kg_kgcat_h</t>
        </is>
      </c>
      <c r="B651" s="4" t="n">
        <v>1.22</v>
      </c>
      <c r="C651" t="inlineStr">
        <is>
          <t>kg MeOH/(kg cat h) at 60 bar 523 K, CO2-only feed</t>
        </is>
      </c>
      <c r="D651" t="inlineStr">
        <is>
          <t>CTC2020_CZA</t>
        </is>
      </c>
    </row>
    <row r="652">
      <c r="A652" t="inlineStr">
        <is>
          <t>meoh_wty_margin</t>
        </is>
      </c>
      <c r="B652" s="4" t="n">
        <v>3</v>
      </c>
      <c r="C652" t="inlineStr">
        <is>
          <t>-</t>
        </is>
      </c>
      <c r="E652" t="inlineStr">
        <is>
          <t>A-M-156</t>
        </is>
      </c>
      <c r="F652" t="b">
        <v>1</v>
      </c>
      <c r="G652" t="inlineStr">
        <is>
          <t>see A-M-156</t>
        </is>
      </c>
    </row>
    <row r="653">
      <c r="A653" t="inlineStr">
        <is>
          <t>mill_idle_frac</t>
        </is>
      </c>
      <c r="B653" s="4" t="n">
        <v>0.15</v>
      </c>
      <c r="C653" t="inlineStr">
        <is>
          <t>- no-load fraction of nameplate while running</t>
        </is>
      </c>
      <c r="E653" t="inlineStr">
        <is>
          <t>A-M-177</t>
        </is>
      </c>
    </row>
    <row r="654">
      <c r="A654" t="inlineStr">
        <is>
          <t>mill_kW</t>
        </is>
      </c>
      <c r="B654" s="4" t="n">
        <v>2.2</v>
      </c>
      <c r="C654" t="inlineStr">
        <is>
          <t>kW mill motor nameplate</t>
        </is>
      </c>
      <c r="E654" t="inlineStr">
        <is>
          <t>A-M-177</t>
        </is>
      </c>
    </row>
    <row r="655">
      <c r="A655" t="inlineStr">
        <is>
          <t>mill_run_h</t>
        </is>
      </c>
      <c r="B655" s="4" t="n">
        <v>1</v>
      </c>
      <c r="C655" t="inlineStr">
        <is>
          <t>h/d run</t>
        </is>
      </c>
      <c r="E655" t="inlineStr">
        <is>
          <t>A-M-177</t>
        </is>
      </c>
    </row>
    <row r="656">
      <c r="A656" t="inlineStr">
        <is>
          <t>mv_kV</t>
        </is>
      </c>
      <c r="B656" s="4" t="n">
        <v>12.47</v>
      </c>
      <c r="C656" t="inlineStr">
        <is>
          <t>kV collection and point of common coupling</t>
        </is>
      </c>
      <c r="E656" t="inlineStr">
        <is>
          <t>A-M-114</t>
        </is>
      </c>
      <c r="F656" t="b">
        <v>1</v>
      </c>
      <c r="G656" t="inlineStr">
        <is>
          <t>Utility interconnection study (owner input A-M-113): service voltage</t>
        </is>
      </c>
    </row>
    <row r="657">
      <c r="A657" t="inlineStr">
        <is>
          <t>mvr_kWh_per_t</t>
        </is>
      </c>
      <c r="B657" s="4" t="n">
        <v>72</v>
      </c>
      <c r="C657" t="inlineStr">
        <is>
          <t>kWh/t water evaporated</t>
        </is>
      </c>
      <c r="D657" t="inlineStr">
        <is>
          <t>VOGELBUSCH_MVR</t>
        </is>
      </c>
      <c r="F657" t="b">
        <v>1</v>
      </c>
      <c r="G657" t="inlineStr">
        <is>
          <t>Vendor MVR quote at 0.8 t/d for 7 -&gt; 20 wt% HCl and NaOH; small-unit penalty measured on the pilot</t>
        </is>
      </c>
    </row>
    <row r="658">
      <c r="A658" t="inlineStr">
        <is>
          <t>naoh_makeup_form</t>
        </is>
      </c>
      <c r="B658" s="4" t="n">
        <v>1</v>
      </c>
      <c r="C658" t="inlineStr">
        <is>
          <t>mass fraction NaOH in purchased make-up (anhydrous flake)</t>
        </is>
      </c>
      <c r="E658" t="inlineStr">
        <is>
          <t>X-PAR NaOH balance (owner decision 2026-10-15)</t>
        </is>
      </c>
      <c r="F658" t="b">
        <v>1</v>
      </c>
      <c r="G658" t="inlineStr">
        <is>
          <t>Supplier certificate for NaOH flake; dissolution into EVAP_BASE product checked on the pilot</t>
        </is>
      </c>
    </row>
    <row r="659">
      <c r="A659" t="inlineStr">
        <is>
          <t>nft_gully_L_min</t>
        </is>
      </c>
      <c r="B659" s="4" t="n">
        <v>1</v>
      </c>
      <c r="C659" t="inlineStr">
        <is>
          <t>L/min</t>
        </is>
      </c>
      <c r="D659" t="inlineStr">
        <is>
          <t>COOPER1996</t>
        </is>
      </c>
    </row>
    <row r="660">
      <c r="A660" t="inlineStr">
        <is>
          <t>nft_gully_pitch_m</t>
        </is>
      </c>
      <c r="B660" s="4" t="n">
        <v>0.2</v>
      </c>
      <c r="C660" t="inlineStr">
        <is>
          <t>m</t>
        </is>
      </c>
      <c r="D660" t="inlineStr">
        <is>
          <t>CROPKING_NFT</t>
        </is>
      </c>
    </row>
    <row r="661">
      <c r="A661" t="inlineStr">
        <is>
          <t>night_hours</t>
        </is>
      </c>
      <c r="B661" s="4" t="n">
        <v>14</v>
      </c>
      <c r="C661" t="inlineStr">
        <is>
          <t>h/d served from storage</t>
        </is>
      </c>
      <c r="E661" t="inlineStr">
        <is>
          <t>A-M-060</t>
        </is>
      </c>
      <c r="F661" t="b">
        <v>1</v>
      </c>
      <c r="G661" t="inlineStr">
        <is>
          <t>Hourly load and irradiance profile</t>
        </is>
      </c>
    </row>
    <row r="662">
      <c r="A662" t="inlineStr">
        <is>
          <t>pem_kWh_kg_H2</t>
        </is>
      </c>
      <c r="B662" s="4" t="n">
        <v>55</v>
      </c>
      <c r="C662" t="inlineStr">
        <is>
          <t>kWh/kg</t>
        </is>
      </c>
      <c r="E662" t="inlineStr">
        <is>
          <t>A-M-133</t>
        </is>
      </c>
      <c r="F662" t="b">
        <v>1</v>
      </c>
      <c r="G662" t="inlineStr">
        <is>
          <t>see A-M-133</t>
        </is>
      </c>
    </row>
    <row r="663">
      <c r="A663" t="inlineStr">
        <is>
          <t>poly_shop_reject_frac</t>
        </is>
      </c>
      <c r="B663" s="4" t="n">
        <v>0.1</v>
      </c>
      <c r="C663" t="inlineStr">
        <is>
          <t>kg offcut to the wet line per kg polymer issued to MFG_SHOP</t>
        </is>
      </c>
      <c r="E663" t="inlineStr">
        <is>
          <t>A-M-263</t>
        </is>
      </c>
      <c r="F663" t="b">
        <v>1</v>
      </c>
      <c r="G663" t="inlineStr">
        <is>
          <t>shop polymer offcut weigh at the first article (same class as the S58/S59/S60 10 % losses, AQS-DUTY-010)</t>
        </is>
      </c>
    </row>
    <row r="664">
      <c r="A664" t="inlineStr">
        <is>
          <t>ppt_naoh_per_cl</t>
        </is>
      </c>
      <c r="B664" s="4" t="n">
        <v>1</v>
      </c>
      <c r="C664" t="inlineStr">
        <is>
          <t>mol NaOH per mol chloride precipitated as hydroxide</t>
        </is>
      </c>
      <c r="D664" t="inlineStr">
        <is>
          <t>GREENWOOD</t>
        </is>
      </c>
      <c r="F664" t="b">
        <v>1</v>
      </c>
      <c r="G664" t="inlineStr">
        <is>
          <t>Bench hydroxide precipitation of class A leach liquor: NaOH consumed per mol chloride to the target pH; Ca retained in solution (Ca(OH)2 is sparingly soluble) measured by ICP-OES</t>
        </is>
      </c>
    </row>
    <row r="665">
      <c r="A665" t="inlineStr">
        <is>
          <t>press_design_margin</t>
        </is>
      </c>
      <c r="B665" s="4" t="n">
        <v>1.1</v>
      </c>
      <c r="C665" t="inlineStr">
        <is>
          <t>design / operating pressure</t>
        </is>
      </c>
      <c r="E665" t="inlineStr">
        <is>
          <t>A-M-156</t>
        </is>
      </c>
      <c r="F665" t="b">
        <v>1</v>
      </c>
      <c r="G665" t="inlineStr">
        <is>
          <t>see A-M-156</t>
        </is>
      </c>
    </row>
    <row r="666">
      <c r="A666" t="inlineStr">
        <is>
          <t>psat_water_200C_MPa</t>
        </is>
      </c>
      <c r="B666" s="4" t="n">
        <v>1.555</v>
      </c>
      <c r="C666" t="inlineStr">
        <is>
          <t>MPa</t>
        </is>
      </c>
      <c r="D666" t="inlineStr">
        <is>
          <t>NIST_WEBBOOK</t>
        </is>
      </c>
    </row>
    <row r="667">
      <c r="A667" t="inlineStr">
        <is>
          <t>pv_cells_per_d</t>
        </is>
      </c>
      <c r="B667" s="4" t="n">
        <v>3</v>
      </c>
      <c r="C667" t="inlineStr">
        <is>
          <t>cells/d M2 156 mm (ST-SOLAR-01 study rate)</t>
        </is>
      </c>
      <c r="E667" t="inlineStr">
        <is>
          <t>ST-SOLAR-01</t>
        </is>
      </c>
    </row>
    <row r="668">
      <c r="A668" t="inlineStr">
        <is>
          <t>pv_dc_ac_ratio</t>
        </is>
      </c>
      <c r="B668" s="4" t="n">
        <v>1.2</v>
      </c>
      <c r="C668" t="inlineStr">
        <is>
          <t>DC kWp / inverter AC kW</t>
        </is>
      </c>
      <c r="D668" t="inlineStr">
        <is>
          <t>NREL_PVWATTS8</t>
        </is>
      </c>
      <c r="F668" t="b">
        <v>1</v>
      </c>
      <c r="G668" t="inlineStr">
        <is>
          <t>Inverter clipping loss from the PVsyst/PVWatts hourly run at the chosen ratio</t>
        </is>
      </c>
    </row>
    <row r="669">
      <c r="A669" t="inlineStr">
        <is>
          <t>pv_module_eff</t>
        </is>
      </c>
      <c r="B669" s="4" t="n">
        <v>0.19</v>
      </c>
      <c r="C669" t="inlineStr">
        <is>
          <t>STC efficiency</t>
        </is>
      </c>
      <c r="D669" t="inlineStr">
        <is>
          <t>NREL_PVWATTS8</t>
        </is>
      </c>
      <c r="F669" t="b">
        <v>1</v>
      </c>
      <c r="G669" t="inlineStr">
        <is>
          <t>Module datasheet of the in-house cell line (SOLAR_PV_CELL) at STC</t>
        </is>
      </c>
    </row>
    <row r="670">
      <c r="A670" t="inlineStr">
        <is>
          <t>pv_oversize_factor</t>
        </is>
      </c>
      <c r="B670" s="4" t="n">
        <v>2</v>
      </c>
      <c r="C670" t="inlineStr">
        <is>
          <t>PV nameplate / PV needed to close the daily balance</t>
        </is>
      </c>
      <c r="D670" t="inlineStr">
        <is>
          <t>Owner decision, Mike Matthews 2026-10-15 (D75): 200 % of plant requirement; storage still charges on a day at half the mean yield, surplus exported</t>
        </is>
      </c>
      <c r="E670" t="inlineStr">
        <is>
          <t>A-M-109</t>
        </is>
      </c>
      <c r="F670" t="b">
        <v>1</v>
      </c>
      <c r="G670" t="inlineStr">
        <is>
          <t>NREL NSRDB TMY hourly run (PVWatts v8) for the site: fraction of days with yield below 1/factor of the mean; export tariff from the serving utility</t>
        </is>
      </c>
    </row>
    <row r="671">
      <c r="A671" t="inlineStr">
        <is>
          <t>pv_roof_gcr</t>
        </is>
      </c>
      <c r="B671" s="4" t="n">
        <v>0.6</v>
      </c>
      <c r="C671" t="inlineStr">
        <is>
          <t>ground coverage ratio, low-tilt rows</t>
        </is>
      </c>
      <c r="E671" t="inlineStr">
        <is>
          <t>A-M-103</t>
        </is>
      </c>
      <c r="F671" t="b">
        <v>1</v>
      </c>
      <c r="G671" t="inlineStr">
        <is>
          <t>Row-shading study (inter-row spacing at winter solstice noon) for the chosen tilt</t>
        </is>
      </c>
    </row>
    <row r="672">
      <c r="A672" t="inlineStr">
        <is>
          <t>pv_roof_yield_factor</t>
        </is>
      </c>
      <c r="B672" s="4" t="n">
        <v>1</v>
      </c>
      <c r="C672" t="inlineStr">
        <is>
          <t>roof yield / pv_yield_kWh_kWp_d</t>
        </is>
      </c>
      <c r="E672" t="inlineStr">
        <is>
          <t>A-M-103</t>
        </is>
      </c>
      <c r="F672" t="b">
        <v>1</v>
      </c>
      <c r="G672" t="inlineStr">
        <is>
          <t>PVWatts run at the roof tilt and azimuth; replace 1.0 with the ratio</t>
        </is>
      </c>
    </row>
    <row r="673">
      <c r="A673" t="inlineStr">
        <is>
          <t>pv_system_derate</t>
        </is>
      </c>
      <c r="B673" s="4" t="n">
        <v>0.8</v>
      </c>
      <c r="C673" t="inlineStr">
        <is>
          <t>-</t>
        </is>
      </c>
      <c r="E673" t="inlineStr">
        <is>
          <t>A-M-061</t>
        </is>
      </c>
      <c r="F673" t="b">
        <v>1</v>
      </c>
      <c r="G673" t="inlineStr">
        <is>
          <t>PVsyst loss tree for the selected modules and inverters</t>
        </is>
      </c>
    </row>
    <row r="674">
      <c r="A674" t="inlineStr">
        <is>
          <t>pv_yield_kWh_kWp_d</t>
        </is>
      </c>
      <c r="B674" s="4" t="n">
        <v>5.41</v>
      </c>
      <c r="C674" t="inlineStr">
        <is>
          <t>kWh/kWp/d before losses</t>
        </is>
      </c>
      <c r="D674" t="inlineStr">
        <is>
          <t>NREL_PVWATTS</t>
        </is>
      </c>
      <c r="F674" t="b">
        <v>1</v>
      </c>
      <c r="G674" t="inlineStr">
        <is>
          <t>PVsyst or measured site irradiance year at the chosen tilt</t>
        </is>
      </c>
    </row>
    <row r="675">
      <c r="A675" t="inlineStr">
        <is>
          <t>pvc_u_max_C</t>
        </is>
      </c>
      <c r="B675" s="4" t="n">
        <v>60</v>
      </c>
      <c r="C675" t="inlineStr">
        <is>
          <t>C</t>
        </is>
      </c>
      <c r="D675" t="inlineStr">
        <is>
          <t>ASTM_D1785</t>
        </is>
      </c>
    </row>
    <row r="676">
      <c r="A676" t="inlineStr">
        <is>
          <t>pvl_diff_C</t>
        </is>
      </c>
      <c r="B676" s="4" t="n">
        <v>850</v>
      </c>
      <c r="C676" t="inlineStr">
        <is>
          <t>C POCl3 diffusion tube</t>
        </is>
      </c>
      <c r="E676" t="inlineStr">
        <is>
          <t>A-M-178</t>
        </is>
      </c>
    </row>
    <row r="677">
      <c r="A677" t="inlineStr">
        <is>
          <t>pvl_diff_D_mm</t>
        </is>
      </c>
      <c r="B677" s="4" t="n">
        <v>200</v>
      </c>
      <c r="C677" t="inlineStr">
        <is>
          <t>mm quartz tube OD</t>
        </is>
      </c>
      <c r="E677" t="inlineStr">
        <is>
          <t>A-M-178</t>
        </is>
      </c>
    </row>
    <row r="678">
      <c r="A678" t="inlineStr">
        <is>
          <t>pvl_diff_L_m</t>
        </is>
      </c>
      <c r="B678" s="4" t="n">
        <v>1</v>
      </c>
      <c r="C678" t="inlineStr">
        <is>
          <t>m heated length</t>
        </is>
      </c>
      <c r="E678" t="inlineStr">
        <is>
          <t>A-M-178</t>
        </is>
      </c>
    </row>
    <row r="679">
      <c r="A679" t="inlineStr">
        <is>
          <t>pvl_diff_heat_h</t>
        </is>
      </c>
      <c r="B679" s="4" t="n">
        <v>1.5</v>
      </c>
      <c r="C679" t="inlineStr">
        <is>
          <t>h heat-up</t>
        </is>
      </c>
      <c r="E679" t="inlineStr">
        <is>
          <t>A-M-178</t>
        </is>
      </c>
    </row>
    <row r="680">
      <c r="A680" t="inlineStr">
        <is>
          <t>pvl_diff_mass_kg</t>
        </is>
      </c>
      <c r="B680" s="4" t="n">
        <v>20</v>
      </c>
      <c r="C680" t="inlineStr">
        <is>
          <t>kg heated mass (tube, boat, heater, hot-face insulation)</t>
        </is>
      </c>
      <c r="E680" t="inlineStr">
        <is>
          <t>A-M-178</t>
        </is>
      </c>
      <c r="F680" t="b">
        <v>1</v>
      </c>
      <c r="G680" t="inlineStr">
        <is>
          <t>First-article tool run (X-MFG-38)</t>
        </is>
      </c>
    </row>
    <row r="681">
      <c r="A681" t="inlineStr">
        <is>
          <t>pvl_diff_run_h</t>
        </is>
      </c>
      <c r="B681" s="4" t="n">
        <v>1</v>
      </c>
      <c r="C681" t="inlineStr">
        <is>
          <t>h at temperature</t>
        </is>
      </c>
      <c r="E681" t="inlineStr">
        <is>
          <t>A-M-178</t>
        </is>
      </c>
    </row>
    <row r="682">
      <c r="A682" t="inlineStr">
        <is>
          <t>pvl_dry_kW</t>
        </is>
      </c>
      <c r="B682" s="4" t="n">
        <v>0.5</v>
      </c>
      <c r="C682" t="inlineStr">
        <is>
          <t>kW 200 C dryer</t>
        </is>
      </c>
      <c r="E682" t="inlineStr">
        <is>
          <t>A-M-178</t>
        </is>
      </c>
    </row>
    <row r="683">
      <c r="A683" t="inlineStr">
        <is>
          <t>pvl_fire_h</t>
        </is>
      </c>
      <c r="B683" s="4" t="n">
        <v>0.17</v>
      </c>
      <c r="C683" t="inlineStr">
        <is>
          <t>h lamp on per batch</t>
        </is>
      </c>
      <c r="E683" t="inlineStr">
        <is>
          <t>A-M-178</t>
        </is>
      </c>
    </row>
    <row r="684">
      <c r="A684" t="inlineStr">
        <is>
          <t>pvl_fire_kW</t>
        </is>
      </c>
      <c r="B684" s="4" t="n">
        <v>3</v>
      </c>
      <c r="C684" t="inlineStr">
        <is>
          <t>kW IR lamp fast-firing furnace</t>
        </is>
      </c>
      <c r="E684" t="inlineStr">
        <is>
          <t>A-M-178</t>
        </is>
      </c>
    </row>
    <row r="685">
      <c r="A685" t="inlineStr">
        <is>
          <t>pvl_hot_k_a</t>
        </is>
      </c>
      <c r="B685" s="4" t="n">
        <v>0.035</v>
      </c>
      <c r="C685" t="inlineStr">
        <is>
          <t>W/m K ceramic-fibre k at 0 C</t>
        </is>
      </c>
      <c r="E685" t="inlineStr">
        <is>
          <t>A-M-178</t>
        </is>
      </c>
    </row>
    <row r="686">
      <c r="A686" t="inlineStr">
        <is>
          <t>pvl_hot_k_b</t>
        </is>
      </c>
      <c r="B686" s="4" t="n">
        <v>0.0002</v>
      </c>
      <c r="C686" t="inlineStr">
        <is>
          <t>W/m K2 ceramic-fibre k slope</t>
        </is>
      </c>
      <c r="E686" t="inlineStr">
        <is>
          <t>A-M-178</t>
        </is>
      </c>
    </row>
    <row r="687">
      <c r="A687" t="inlineStr">
        <is>
          <t>pvl_iv_h</t>
        </is>
      </c>
      <c r="B687" s="4" t="n">
        <v>0.25</v>
      </c>
      <c r="C687" t="inlineStr">
        <is>
          <t>h</t>
        </is>
      </c>
      <c r="E687" t="inlineStr">
        <is>
          <t>A-M-178</t>
        </is>
      </c>
    </row>
    <row r="688">
      <c r="A688" t="inlineStr">
        <is>
          <t>pvl_iv_kW</t>
        </is>
      </c>
      <c r="B688" s="4" t="n">
        <v>0.1</v>
      </c>
      <c r="C688" t="inlineStr">
        <is>
          <t>kW flash IV tester</t>
        </is>
      </c>
      <c r="E688" t="inlineStr">
        <is>
          <t>A-M-178</t>
        </is>
      </c>
    </row>
    <row r="689">
      <c r="A689" t="inlineStr">
        <is>
          <t>pvl_pecvd_C</t>
        </is>
      </c>
      <c r="B689" s="4" t="n">
        <v>400</v>
      </c>
      <c r="C689" t="inlineStr">
        <is>
          <t>C substrate</t>
        </is>
      </c>
      <c r="E689" t="inlineStr">
        <is>
          <t>A-M-178</t>
        </is>
      </c>
    </row>
    <row r="690">
      <c r="A690" t="inlineStr">
        <is>
          <t>pvl_pecvd_W_cm2</t>
        </is>
      </c>
      <c r="B690" s="4" t="n">
        <v>0.1</v>
      </c>
      <c r="C690" t="inlineStr">
        <is>
          <t>W/cm2 RF power density on the electrode</t>
        </is>
      </c>
      <c r="E690" t="inlineStr">
        <is>
          <t>A-M-178</t>
        </is>
      </c>
      <c r="F690" t="b">
        <v>1</v>
      </c>
      <c r="G690" t="inlineStr">
        <is>
          <t>First-article tool run (X-MFG-38)</t>
        </is>
      </c>
    </row>
    <row r="691">
      <c r="A691" t="inlineStr">
        <is>
          <t>pvl_pecvd_area_m2</t>
        </is>
      </c>
      <c r="B691" s="4" t="n">
        <v>0.05</v>
      </c>
      <c r="C691" t="inlineStr">
        <is>
          <t>m2 electrode (two cells)</t>
        </is>
      </c>
      <c r="E691" t="inlineStr">
        <is>
          <t>A-M-178</t>
        </is>
      </c>
    </row>
    <row r="692">
      <c r="A692" t="inlineStr">
        <is>
          <t>pvl_pecvd_dep_h</t>
        </is>
      </c>
      <c r="B692" s="4" t="n">
        <v>0.25</v>
      </c>
      <c r="C692" t="inlineStr">
        <is>
          <t>h deposition per batch</t>
        </is>
      </c>
      <c r="E692" t="inlineStr">
        <is>
          <t>A-M-178</t>
        </is>
      </c>
    </row>
    <row r="693">
      <c r="A693" t="inlineStr">
        <is>
          <t>pvl_print_h</t>
        </is>
      </c>
      <c r="B693" s="4" t="n">
        <v>0.5</v>
      </c>
      <c r="C693" t="inlineStr">
        <is>
          <t>h per batch</t>
        </is>
      </c>
      <c r="E693" t="inlineStr">
        <is>
          <t>A-M-178</t>
        </is>
      </c>
    </row>
    <row r="694">
      <c r="A694" t="inlineStr">
        <is>
          <t>pvl_print_kW</t>
        </is>
      </c>
      <c r="B694" s="4" t="n">
        <v>0.2</v>
      </c>
      <c r="C694" t="inlineStr">
        <is>
          <t>kW screen-printer drives</t>
        </is>
      </c>
      <c r="E694" t="inlineStr">
        <is>
          <t>A-M-178</t>
        </is>
      </c>
    </row>
    <row r="695">
      <c r="A695" t="inlineStr">
        <is>
          <t>pvl_tex_C</t>
        </is>
      </c>
      <c r="B695" s="4" t="n">
        <v>80</v>
      </c>
      <c r="C695" t="inlineStr">
        <is>
          <t>C texture bath</t>
        </is>
      </c>
      <c r="E695" t="inlineStr">
        <is>
          <t>A-M-178</t>
        </is>
      </c>
    </row>
    <row r="696">
      <c r="A696" t="inlineStr">
        <is>
          <t>pvl_tex_L</t>
        </is>
      </c>
      <c r="B696" s="4" t="n">
        <v>10</v>
      </c>
      <c r="C696" t="inlineStr">
        <is>
          <t>L KOH texture bath</t>
        </is>
      </c>
      <c r="E696" t="inlineStr">
        <is>
          <t>A-M-178</t>
        </is>
      </c>
    </row>
    <row r="697">
      <c r="A697" t="inlineStr">
        <is>
          <t>pvl_tex_heat_h</t>
        </is>
      </c>
      <c r="B697" s="4" t="n">
        <v>0.33</v>
      </c>
      <c r="C697" t="inlineStr">
        <is>
          <t>h heat-up</t>
        </is>
      </c>
      <c r="E697" t="inlineStr">
        <is>
          <t>A-M-178</t>
        </is>
      </c>
    </row>
    <row r="698">
      <c r="A698" t="inlineStr">
        <is>
          <t>pvl_tex_run_h</t>
        </is>
      </c>
      <c r="B698" s="4" t="n">
        <v>1</v>
      </c>
      <c r="C698" t="inlineStr">
        <is>
          <t>h at temperature</t>
        </is>
      </c>
      <c r="E698" t="inlineStr">
        <is>
          <t>A-M-178</t>
        </is>
      </c>
    </row>
    <row r="699">
      <c r="A699" t="inlineStr">
        <is>
          <t>pvl_vac_h</t>
        </is>
      </c>
      <c r="B699" s="4" t="n">
        <v>1</v>
      </c>
      <c r="C699" t="inlineStr">
        <is>
          <t>h pump run per batch</t>
        </is>
      </c>
      <c r="E699" t="inlineStr">
        <is>
          <t>A-M-178</t>
        </is>
      </c>
    </row>
    <row r="700">
      <c r="A700" t="inlineStr">
        <is>
          <t>pvl_vac_kW</t>
        </is>
      </c>
      <c r="B700" s="4" t="n">
        <v>1.5</v>
      </c>
      <c r="C700" t="inlineStr">
        <is>
          <t>kW dry vacuum pump</t>
        </is>
      </c>
      <c r="E700" t="inlineStr">
        <is>
          <t>A-M-178</t>
        </is>
      </c>
    </row>
    <row r="701">
      <c r="A701" t="inlineStr">
        <is>
          <t>pyro_band_fracs</t>
        </is>
      </c>
      <c r="B701" s="4" t="inlineStr">
        <is>
          <t>[0.34,0.315,0.345]</t>
        </is>
      </c>
      <c r="C701" t="inlineStr">
        <is>
          <t>mass fraction C7-12/C13-20/C21-40</t>
        </is>
      </c>
      <c r="D701" t="inlineStr">
        <is>
          <t>SU2018_PYRO</t>
        </is>
      </c>
    </row>
    <row r="702">
      <c r="A702" t="inlineStr">
        <is>
          <t>raft_fc_MPa</t>
        </is>
      </c>
      <c r="B702" s="4" t="n">
        <v>35</v>
      </c>
      <c r="C702" t="inlineStr">
        <is>
          <t>MPa concrete strength, raft and basement walls</t>
        </is>
      </c>
      <c r="E702" t="inlineStr">
        <is>
          <t>A-M-208</t>
        </is>
      </c>
      <c r="F702" t="b">
        <v>1</v>
      </c>
      <c r="G702" t="inlineStr">
        <is>
          <t>Mix design and cylinder tests</t>
        </is>
      </c>
    </row>
    <row r="703">
      <c r="A703" t="inlineStr">
        <is>
          <t>rcv_tube_len_m</t>
        </is>
      </c>
      <c r="B703" s="4" t="n">
        <v>6.096</v>
      </c>
      <c r="C703" t="inlineStr">
        <is>
          <t>m, one random length per tube (as AQS-INV-003)</t>
        </is>
      </c>
      <c r="E703" t="inlineStr">
        <is>
          <t>A-M-167 (receiver banks)</t>
        </is>
      </c>
      <c r="F703" t="b">
        <v>1</v>
      </c>
      <c r="G703" t="inlineStr">
        <is>
          <t>rack layout check against the CRYO bay</t>
        </is>
      </c>
    </row>
    <row r="704">
      <c r="A704" t="inlineStr">
        <is>
          <t>rect_efficiency</t>
        </is>
      </c>
      <c r="B704" s="4" t="n">
        <v>0.8</v>
      </c>
      <c r="C704" t="inlineStr">
        <is>
          <t>-</t>
        </is>
      </c>
      <c r="E704" t="inlineStr">
        <is>
          <t>AQS-ELEC-004 _rect_ew_sizing EFF (study)</t>
        </is>
      </c>
      <c r="F704" t="b">
        <v>1</v>
      </c>
      <c r="G704" t="inlineStr">
        <is>
          <t>Vendor efficiency curve for the selected rectifier at the operating current</t>
        </is>
      </c>
    </row>
    <row r="705">
      <c r="A705" t="inlineStr">
        <is>
          <t>ro_A_LMH_bar</t>
        </is>
      </c>
      <c r="B705" s="4" t="n">
        <v>3</v>
      </c>
      <c r="C705" t="inlineStr">
        <is>
          <t>L/(m2 h bar) water permeance, TFC low-pressure</t>
        </is>
      </c>
      <c r="D705" t="inlineStr">
        <is>
          <t>BAKER2012</t>
        </is>
      </c>
      <c r="F705" t="b">
        <v>1</v>
      </c>
      <c r="G705" t="inlineStr">
        <is>
          <t>Permeance of the in-house flat-sheet module on VCD distillate (X-MFG-34)</t>
        </is>
      </c>
    </row>
    <row r="706">
      <c r="A706" t="inlineStr">
        <is>
          <t>ro_feed_TDS_mg_L</t>
        </is>
      </c>
      <c r="B706" s="4" t="n">
        <v>20</v>
      </c>
      <c r="C706" t="inlineStr">
        <is>
          <t>mg/L NaCl equivalent in VCD distillate</t>
        </is>
      </c>
      <c r="E706" t="inlineStr">
        <is>
          <t>A-M-176</t>
        </is>
      </c>
      <c r="F706" t="b">
        <v>1</v>
      </c>
      <c r="G706" t="inlineStr">
        <is>
          <t>Conductivity of S25 at commissioning</t>
        </is>
      </c>
    </row>
    <row r="707">
      <c r="A707" t="inlineStr">
        <is>
          <t>ro_flux_LMH</t>
        </is>
      </c>
      <c r="B707" s="4" t="n">
        <v>20</v>
      </c>
      <c r="C707" t="inlineStr">
        <is>
          <t>L/(m2 h) design flux</t>
        </is>
      </c>
      <c r="E707" t="inlineStr">
        <is>
          <t>A-M-176</t>
        </is>
      </c>
    </row>
    <row r="708">
      <c r="A708" t="inlineStr">
        <is>
          <t>ro_pump_eta</t>
        </is>
      </c>
      <c r="B708" s="4" t="n">
        <v>0.4</v>
      </c>
      <c r="C708" t="inlineStr">
        <is>
          <t>- small positive-displacement pump wire to water</t>
        </is>
      </c>
      <c r="E708" t="inlineStr">
        <is>
          <t>A-M-176</t>
        </is>
      </c>
    </row>
    <row r="709">
      <c r="A709" t="inlineStr">
        <is>
          <t>ro_rejection</t>
        </is>
      </c>
      <c r="B709" s="4" t="n">
        <v>0.98</v>
      </c>
      <c r="C709" t="inlineStr">
        <is>
          <t>- salt rejection</t>
        </is>
      </c>
      <c r="D709" t="inlineStr">
        <is>
          <t>BAKER2012</t>
        </is>
      </c>
    </row>
    <row r="710">
      <c r="A710" t="inlineStr">
        <is>
          <t>roll_strain</t>
        </is>
      </c>
      <c r="B710" s="4" t="n">
        <v>2.3</v>
      </c>
      <c r="C710" t="inlineStr">
        <is>
          <t>- true strain, 10 mm bar to 1 mm strip</t>
        </is>
      </c>
      <c r="E710" t="inlineStr">
        <is>
          <t>A-M-177</t>
        </is>
      </c>
    </row>
    <row r="711">
      <c r="A711" t="inlineStr">
        <is>
          <t>roof_live_kPa</t>
        </is>
      </c>
      <c r="B711" s="4" t="n">
        <v>0.96</v>
      </c>
      <c r="C711" t="inlineStr">
        <is>
          <t>kPa</t>
        </is>
      </c>
      <c r="D711" t="inlineStr">
        <is>
          <t>ASCE7_22</t>
        </is>
      </c>
      <c r="F711" t="b">
        <v>1</v>
      </c>
      <c r="G711" t="inlineStr">
        <is>
          <t>Structural review</t>
        </is>
      </c>
    </row>
    <row r="712">
      <c r="A712" t="inlineStr">
        <is>
          <t>roof_pv_dead_kPa</t>
        </is>
      </c>
      <c r="B712" s="4" t="n">
        <v>0.15</v>
      </c>
      <c r="C712" t="inlineStr">
        <is>
          <t>kPa PV modules and ballasted racking</t>
        </is>
      </c>
      <c r="E712" t="inlineStr">
        <is>
          <t>A-M-105</t>
        </is>
      </c>
      <c r="F712" t="b">
        <v>1</v>
      </c>
      <c r="G712" t="inlineStr">
        <is>
          <t>Racking design weight per m2</t>
        </is>
      </c>
    </row>
    <row r="713">
      <c r="A713" t="inlineStr">
        <is>
          <t>roof_snow_kPa</t>
        </is>
      </c>
      <c r="B713" s="4" t="n">
        <v>0.24</v>
      </c>
      <c r="C713" t="inlineStr">
        <is>
          <t>kPa flat-roof snow (study)</t>
        </is>
      </c>
      <c r="E713" t="inlineStr">
        <is>
          <t>A-M-105</t>
        </is>
      </c>
      <c r="F713" t="b">
        <v>1</v>
      </c>
      <c r="G713" t="inlineStr">
        <is>
          <t>ASCE 7 Hazard Tool ground snow load at the site</t>
        </is>
      </c>
    </row>
    <row r="714">
      <c r="A714" t="inlineStr">
        <is>
          <t>rx_Np_pbt</t>
        </is>
      </c>
      <c r="B714" s="4" t="n">
        <v>1.27</v>
      </c>
      <c r="C714" t="inlineStr">
        <is>
          <t>power number, 4-blade 45 deg PBT, turbulent</t>
        </is>
      </c>
      <c r="D714" t="inlineStr">
        <is>
          <t>PERRY9_MIX</t>
        </is>
      </c>
      <c r="F714" t="b">
        <v>0</v>
      </c>
    </row>
    <row r="715">
      <c r="A715" t="inlineStr">
        <is>
          <t>rx_abe_T_C</t>
        </is>
      </c>
      <c r="B715" s="4" t="n">
        <v>37</v>
      </c>
      <c r="C715" t="inlineStr">
        <is>
          <t>C</t>
        </is>
      </c>
      <c r="D715" t="inlineStr">
        <is>
          <t>JONES1986</t>
        </is>
      </c>
    </row>
    <row r="716">
      <c r="A716" t="inlineStr">
        <is>
          <t>rx_abe_tau_h</t>
        </is>
      </c>
      <c r="B716" s="4" t="n">
        <v>72</v>
      </c>
      <c r="C716" t="inlineStr">
        <is>
          <t>h</t>
        </is>
      </c>
      <c r="D716" t="inlineStr">
        <is>
          <t>JONES1986</t>
        </is>
      </c>
    </row>
    <row r="717">
      <c r="A717" t="inlineStr">
        <is>
          <t>rx_acetox_T_C</t>
        </is>
      </c>
      <c r="B717" s="4" t="n">
        <v>30</v>
      </c>
      <c r="C717" t="inlineStr">
        <is>
          <t>C</t>
        </is>
      </c>
      <c r="D717" t="inlineStr">
        <is>
          <t>GULLO2014</t>
        </is>
      </c>
    </row>
    <row r="718">
      <c r="A718" t="inlineStr">
        <is>
          <t>rx_acetox_tau_h</t>
        </is>
      </c>
      <c r="B718" s="4" t="n">
        <v>24</v>
      </c>
      <c r="C718" t="inlineStr">
        <is>
          <t>h</t>
        </is>
      </c>
      <c r="D718" t="inlineStr">
        <is>
          <t>GULLO2014</t>
        </is>
      </c>
    </row>
    <row r="719">
      <c r="A719" t="inlineStr">
        <is>
          <t>rx_ald_T_C</t>
        </is>
      </c>
      <c r="B719" s="4" t="n">
        <v>250</v>
      </c>
      <c r="C719" t="inlineStr">
        <is>
          <t>C</t>
        </is>
      </c>
      <c r="D719" t="inlineStr">
        <is>
          <t>CUSIO2_ALD2023</t>
        </is>
      </c>
    </row>
    <row r="720">
      <c r="A720" t="inlineStr">
        <is>
          <t>rx_ald_dH_kJ_mol</t>
        </is>
      </c>
      <c r="B720" s="4" t="n">
        <v>68.7</v>
      </c>
      <c r="C720" t="inlineStr">
        <is>
          <t>kJ/mol endothermic</t>
        </is>
      </c>
      <c r="D720" t="inlineStr">
        <is>
          <t>NIST_WEBBOOK</t>
        </is>
      </c>
    </row>
    <row r="721">
      <c r="A721" t="inlineStr">
        <is>
          <t>rx_ald_whsv_h</t>
        </is>
      </c>
      <c r="B721" s="4" t="n">
        <v>1</v>
      </c>
      <c r="C721" t="inlineStr">
        <is>
          <t>1/h on ethanol (3.16 h-1 published / about 3)</t>
        </is>
      </c>
      <c r="E721" t="inlineStr">
        <is>
          <t>A-M-157</t>
        </is>
      </c>
      <c r="F721" t="b">
        <v>1</v>
      </c>
      <c r="G721" t="inlineStr">
        <is>
          <t>see A-M-157</t>
        </is>
      </c>
    </row>
    <row r="722">
      <c r="A722" t="inlineStr">
        <is>
          <t>rx_bucl_T_C</t>
        </is>
      </c>
      <c r="B722" s="4" t="n">
        <v>105</v>
      </c>
      <c r="C722" t="inlineStr">
        <is>
          <t>C</t>
        </is>
      </c>
      <c r="E722" t="inlineStr">
        <is>
          <t>A-M-161 (X-MFG-31 batch 4)</t>
        </is>
      </c>
      <c r="F722" t="b">
        <v>1</v>
      </c>
      <c r="G722" t="inlineStr">
        <is>
          <t>bench ZnCl2-catalysed n-butanol + HCl at reflux: conversion against time</t>
        </is>
      </c>
    </row>
    <row r="723">
      <c r="A723" t="inlineStr">
        <is>
          <t>rx_bucl_tau_h</t>
        </is>
      </c>
      <c r="B723" s="4" t="n">
        <v>6</v>
      </c>
      <c r="C723" t="inlineStr">
        <is>
          <t>h</t>
        </is>
      </c>
      <c r="E723" t="inlineStr">
        <is>
          <t>A-M-161 (X-MFG-31 batch 4)</t>
        </is>
      </c>
      <c r="F723" t="b">
        <v>1</v>
      </c>
      <c r="G723" t="inlineStr">
        <is>
          <t>same bench run</t>
        </is>
      </c>
    </row>
    <row r="724">
      <c r="A724" t="inlineStr">
        <is>
          <t>rx_cat_bulk_kg_L</t>
        </is>
      </c>
      <c r="B724" s="4" t="n">
        <v>1</v>
      </c>
      <c r="C724" t="inlineStr">
        <is>
          <t>kg/L</t>
        </is>
      </c>
      <c r="E724" t="inlineStr">
        <is>
          <t>A-M-157</t>
        </is>
      </c>
      <c r="F724" t="b">
        <v>1</v>
      </c>
      <c r="G724" t="inlineStr">
        <is>
          <t>see A-M-157</t>
        </is>
      </c>
    </row>
    <row r="725">
      <c r="A725" t="inlineStr">
        <is>
          <t>rx_digester_srt_d</t>
        </is>
      </c>
      <c r="B725" s="4" t="n">
        <v>20</v>
      </c>
      <c r="C725" t="inlineStr">
        <is>
          <t>d mesophilic SRT (high-rate, 35 C; typical 15-20 d)</t>
        </is>
      </c>
      <c r="D725" t="inlineStr">
        <is>
          <t>METCALF5</t>
        </is>
      </c>
      <c r="F725" t="b">
        <v>1</v>
      </c>
      <c r="G725" t="inlineStr">
        <is>
          <t>VS destruction and gas yield in the pilot digester</t>
        </is>
      </c>
    </row>
    <row r="726">
      <c r="A726" t="inlineStr">
        <is>
          <t>rx_fill</t>
        </is>
      </c>
      <c r="B726" s="4" t="n">
        <v>0.75</v>
      </c>
      <c r="C726" t="inlineStr">
        <is>
          <t>working / total volume</t>
        </is>
      </c>
      <c r="D726" t="inlineStr">
        <is>
          <t>PERRY9_MIX</t>
        </is>
      </c>
      <c r="F726" t="b">
        <v>0</v>
      </c>
    </row>
    <row r="727">
      <c r="A727" t="inlineStr">
        <is>
          <t>rx_form_T_C</t>
        </is>
      </c>
      <c r="B727" s="4" t="n">
        <v>350</v>
      </c>
      <c r="C727" t="inlineStr">
        <is>
          <t>C</t>
        </is>
      </c>
      <c r="D727" t="inlineStr">
        <is>
          <t>FORMOX_REVIEW2021</t>
        </is>
      </c>
    </row>
    <row r="728">
      <c r="A728" t="inlineStr">
        <is>
          <t>rx_form_space_time_g_h_mol</t>
        </is>
      </c>
      <c r="B728" s="4" t="n">
        <v>50.63</v>
      </c>
      <c r="C728" t="inlineStr">
        <is>
          <t>g cat h/mol MeOH</t>
        </is>
      </c>
      <c r="D728" t="inlineStr">
        <is>
          <t>CEAT2010_FORM</t>
        </is>
      </c>
    </row>
    <row r="729">
      <c r="A729" t="inlineStr">
        <is>
          <t>rx_glass_d_um</t>
        </is>
      </c>
      <c r="B729" s="4" t="n">
        <v>100</v>
      </c>
      <c r="C729" t="inlineStr">
        <is>
          <t>um milled cullet fines diameter to the digest</t>
        </is>
      </c>
      <c r="E729" t="inlineStr">
        <is>
          <t>A-M-116</t>
        </is>
      </c>
      <c r="F729" t="b">
        <v>1</v>
      </c>
      <c r="G729" t="inlineStr">
        <is>
          <t>Sieve analysis of GLASS_MILL product</t>
        </is>
      </c>
    </row>
    <row r="730">
      <c r="A730" t="inlineStr">
        <is>
          <t>rx_glass_k0_g_m2_s</t>
        </is>
      </c>
      <c r="B730" s="4" t="n">
        <v>0.0002</v>
      </c>
      <c r="C730" t="inlineStr">
        <is>
          <t>g/(m2 s) zero-order glass dissolution in 3 M NaOH at 80 C; order 0.31 in [OH-]</t>
        </is>
      </c>
      <c r="D730" t="inlineStr">
        <is>
          <t>JMS2017_GLASSFIBRE</t>
        </is>
      </c>
      <c r="E730" t="inlineStr">
        <is>
          <t>A-M-116</t>
        </is>
      </c>
      <c r="F730" t="b">
        <v>1</v>
      </c>
      <c r="G730" t="inlineStr">
        <is>
          <t>Bench digest of milled cullet at 2 M / 20 wt% NaOH, 85 C: SiO2 in liquor vs time</t>
        </is>
      </c>
    </row>
    <row r="731">
      <c r="A731" t="inlineStr">
        <is>
          <t>rx_glass_tau_min_h</t>
        </is>
      </c>
      <c r="B731" s="4" t="n">
        <v>1</v>
      </c>
      <c r="C731" t="inlineStr">
        <is>
          <t>h practical minimum residence (mixing, heat-up, level control)</t>
        </is>
      </c>
      <c r="E731" t="inlineStr">
        <is>
          <t>A-M-116</t>
        </is>
      </c>
      <c r="F731" t="b">
        <v>1</v>
      </c>
      <c r="G731" t="inlineStr">
        <is>
          <t>Bench digest</t>
        </is>
      </c>
    </row>
    <row r="732">
      <c r="A732" t="inlineStr">
        <is>
          <t>rx_glyoxal_T_C</t>
        </is>
      </c>
      <c r="B732" s="4" t="n">
        <v>40</v>
      </c>
      <c r="C732" t="inlineStr">
        <is>
          <t>C</t>
        </is>
      </c>
      <c r="D732" t="inlineStr">
        <is>
          <t>HOTANAHALLI1972</t>
        </is>
      </c>
    </row>
    <row r="733">
      <c r="A733" t="inlineStr">
        <is>
          <t>rx_glyoxal_tau_h</t>
        </is>
      </c>
      <c r="B733" s="4" t="n">
        <v>6</v>
      </c>
      <c r="C733" t="inlineStr">
        <is>
          <t>h</t>
        </is>
      </c>
      <c r="E733" t="inlineStr">
        <is>
          <t>A-M-161 (X-MFG-31 batch 4)</t>
        </is>
      </c>
      <c r="F733" t="b">
        <v>1</v>
      </c>
      <c r="G733" t="inlineStr">
        <is>
          <t>bench oxidation of acetaldehyde in 40 % HNO3 at 40 C: glyoxal yield against time</t>
        </is>
      </c>
    </row>
    <row r="734">
      <c r="A734" t="inlineStr">
        <is>
          <t>rx_hno3_absorber_tau_h</t>
        </is>
      </c>
      <c r="B734" s="4" t="n">
        <v>2</v>
      </c>
      <c r="C734" t="inlineStr">
        <is>
          <t>h</t>
        </is>
      </c>
      <c r="E734" t="inlineStr">
        <is>
          <t>A-M-161 (X-MFG-31 batch 4)</t>
        </is>
      </c>
      <c r="F734" t="b">
        <v>1</v>
      </c>
      <c r="G734" t="inlineStr">
        <is>
          <t>NO absorption test of the HNO3 column at plant rate: outlet NOx</t>
        </is>
      </c>
    </row>
    <row r="735">
      <c r="A735" t="inlineStr">
        <is>
          <t>rx_hno3_gauze_T_C</t>
        </is>
      </c>
      <c r="B735" s="4" t="n">
        <v>900</v>
      </c>
      <c r="C735" t="inlineStr">
        <is>
          <t>C</t>
        </is>
      </c>
      <c r="D735" t="inlineStr">
        <is>
          <t>ULLMANN_NITRIC</t>
        </is>
      </c>
    </row>
    <row r="736">
      <c r="A736" t="inlineStr">
        <is>
          <t>rx_htc_T_C</t>
        </is>
      </c>
      <c r="B736" s="4" t="n">
        <v>200</v>
      </c>
      <c r="C736" t="inlineStr">
        <is>
          <t>C</t>
        </is>
      </c>
      <c r="D736" t="inlineStr">
        <is>
          <t>LIBRA2011</t>
        </is>
      </c>
    </row>
    <row r="737">
      <c r="A737" t="inlineStr">
        <is>
          <t>rx_htc_tau_h</t>
        </is>
      </c>
      <c r="B737" s="4" t="n">
        <v>4</v>
      </c>
      <c r="C737" t="inlineStr">
        <is>
          <t>h</t>
        </is>
      </c>
      <c r="D737" t="inlineStr">
        <is>
          <t>LIBRA2011</t>
        </is>
      </c>
    </row>
    <row r="738">
      <c r="A738" t="inlineStr">
        <is>
          <t>rx_imid_T_C</t>
        </is>
      </c>
      <c r="B738" s="4" t="n">
        <v>70</v>
      </c>
      <c r="C738" t="inlineStr">
        <is>
          <t>C</t>
        </is>
      </c>
      <c r="E738" t="inlineStr">
        <is>
          <t>A-M-161 (X-MFG-31 batch 4)</t>
        </is>
      </c>
      <c r="F738" t="b">
        <v>1</v>
      </c>
      <c r="G738" t="inlineStr">
        <is>
          <t>bench Debus-Radziszewski condensation of glyoxal, formaldehyde, methylamine and ammonia: conversion against T</t>
        </is>
      </c>
    </row>
    <row r="739">
      <c r="A739" t="inlineStr">
        <is>
          <t>rx_imid_tau_h</t>
        </is>
      </c>
      <c r="B739" s="4" t="n">
        <v>4</v>
      </c>
      <c r="C739" t="inlineStr">
        <is>
          <t>h</t>
        </is>
      </c>
      <c r="E739" t="inlineStr">
        <is>
          <t>A-M-161 (X-MFG-31 batch 4)</t>
        </is>
      </c>
      <c r="F739" t="b">
        <v>1</v>
      </c>
      <c r="G739" t="inlineStr">
        <is>
          <t>same bench run: 1-methylimidazole yield against time</t>
        </is>
      </c>
    </row>
    <row r="740">
      <c r="A740" t="inlineStr">
        <is>
          <t>rx_meam_P_bar</t>
        </is>
      </c>
      <c r="B740" s="4" t="n">
        <v>20.7</v>
      </c>
      <c r="C740" t="inlineStr">
        <is>
          <t>bar</t>
        </is>
      </c>
      <c r="D740" t="inlineStr">
        <is>
          <t>EP0064380</t>
        </is>
      </c>
    </row>
    <row r="741">
      <c r="A741" t="inlineStr">
        <is>
          <t>rx_meam_T_C</t>
        </is>
      </c>
      <c r="B741" s="4" t="n">
        <v>400</v>
      </c>
      <c r="C741" t="inlineStr">
        <is>
          <t>C</t>
        </is>
      </c>
      <c r="D741" t="inlineStr">
        <is>
          <t>EP0064380</t>
        </is>
      </c>
    </row>
    <row r="742">
      <c r="A742" t="inlineStr">
        <is>
          <t>rx_meam_ghsv_h</t>
        </is>
      </c>
      <c r="B742" s="4" t="n">
        <v>1100</v>
      </c>
      <c r="C742" t="inlineStr">
        <is>
          <t>1/h total gas at NTP</t>
        </is>
      </c>
      <c r="D742" t="inlineStr">
        <is>
          <t>US1875746</t>
        </is>
      </c>
    </row>
    <row r="743">
      <c r="A743" t="inlineStr">
        <is>
          <t>rx_meohferm_T_C</t>
        </is>
      </c>
      <c r="B743" s="4" t="n">
        <v>35</v>
      </c>
      <c r="C743" t="inlineStr">
        <is>
          <t>C</t>
        </is>
      </c>
      <c r="E743" t="inlineStr">
        <is>
          <t>A-M-163 (X-MFG-31 MEOH_FERM)</t>
        </is>
      </c>
      <c r="F743" t="b">
        <v>1</v>
      </c>
      <c r="G743" t="inlineStr">
        <is>
          <t>same bench run</t>
        </is>
      </c>
    </row>
    <row r="744">
      <c r="A744" t="inlineStr">
        <is>
          <t>rx_meohferm_tau_h</t>
        </is>
      </c>
      <c r="B744" s="4" t="n">
        <v>48</v>
      </c>
      <c r="C744" t="inlineStr">
        <is>
          <t>h</t>
        </is>
      </c>
      <c r="E744" t="inlineStr">
        <is>
          <t>A-M-163 (X-MFG-31 MEOH_FERM)</t>
        </is>
      </c>
      <c r="F744" t="b">
        <v>1</v>
      </c>
      <c r="G744" t="inlineStr">
        <is>
          <t>bench ferment of habitation organics: methanol release (pectin demethylation) against time</t>
        </is>
      </c>
    </row>
    <row r="745">
      <c r="A745" t="inlineStr">
        <is>
          <t>rx_pyro_T_C</t>
        </is>
      </c>
      <c r="B745" s="4" t="n">
        <v>500</v>
      </c>
      <c r="C745" t="inlineStr">
        <is>
          <t>C slow pyrolysis of oils and polymer residue</t>
        </is>
      </c>
      <c r="D745" t="inlineStr">
        <is>
          <t>ANUAR2016</t>
        </is>
      </c>
      <c r="F745" t="b">
        <v>1</v>
      </c>
      <c r="G745" t="inlineStr">
        <is>
          <t>TGA of the dried float oil</t>
        </is>
      </c>
    </row>
    <row r="746">
      <c r="A746" t="inlineStr">
        <is>
          <t>rx_pyro_cp_kJ_kgK</t>
        </is>
      </c>
      <c r="B746" s="4" t="n">
        <v>2.5</v>
      </c>
      <c r="C746" t="inlineStr">
        <is>
          <t>kJ/(kg K) mean feed heat capacity 25-500 C</t>
        </is>
      </c>
      <c r="D746" t="inlineStr">
        <is>
          <t>PERRY9_HEAT</t>
        </is>
      </c>
      <c r="E746" t="inlineStr">
        <is>
          <t>A-M-116</t>
        </is>
      </c>
      <c r="F746" t="b">
        <v>1</v>
      </c>
      <c r="G746" t="inlineStr">
        <is>
          <t>DSC</t>
        </is>
      </c>
    </row>
    <row r="747">
      <c r="A747" t="inlineStr">
        <is>
          <t>rx_pyro_dH_MJ_kg</t>
        </is>
      </c>
      <c r="B747" s="4" t="n">
        <v>1.3</v>
      </c>
      <c r="C747" t="inlineStr">
        <is>
          <t>MJ/kg endothermic heat of pyrolysis (upper end of polyolefin measurements)</t>
        </is>
      </c>
      <c r="D747" t="inlineStr">
        <is>
          <t>GAO2010</t>
        </is>
      </c>
      <c r="E747" t="inlineStr">
        <is>
          <t>A-M-116</t>
        </is>
      </c>
      <c r="F747" t="b">
        <v>1</v>
      </c>
      <c r="G747" t="inlineStr">
        <is>
          <t>DSC of the dried float oil</t>
        </is>
      </c>
    </row>
    <row r="748">
      <c r="A748" t="inlineStr">
        <is>
          <t>rx_pyro_heater_eff</t>
        </is>
      </c>
      <c r="B748" s="4" t="n">
        <v>0.7</v>
      </c>
      <c r="C748" t="inlineStr">
        <is>
          <t>electric to process, insulated retort</t>
        </is>
      </c>
      <c r="E748" t="inlineStr">
        <is>
          <t>A-M-116</t>
        </is>
      </c>
      <c r="F748" t="b">
        <v>1</v>
      </c>
      <c r="G748" t="inlineStr">
        <is>
          <t>Heater energy meter on the pilot retort</t>
        </is>
      </c>
    </row>
    <row r="749">
      <c r="A749" t="inlineStr">
        <is>
          <t>rx_pyro_tau_h</t>
        </is>
      </c>
      <c r="B749" s="4" t="n">
        <v>1</v>
      </c>
      <c r="C749" t="inlineStr">
        <is>
          <t>h solid/liquid residence, batch-equivalent</t>
        </is>
      </c>
      <c r="D749" t="inlineStr">
        <is>
          <t>ANUAR2016</t>
        </is>
      </c>
      <c r="F749" t="b">
        <v>1</v>
      </c>
      <c r="G749" t="inlineStr">
        <is>
          <t>TGA conversion vs time at 500 C</t>
        </is>
      </c>
    </row>
    <row r="750">
      <c r="A750" t="inlineStr">
        <is>
          <t>rx_tip_m_s</t>
        </is>
      </c>
      <c r="B750" s="4" t="n">
        <v>2.5</v>
      </c>
      <c r="C750" t="inlineStr">
        <is>
          <t>m/s impeller tip speed for suspension</t>
        </is>
      </c>
      <c r="D750" t="inlineStr">
        <is>
          <t>PERRY9_MIX</t>
        </is>
      </c>
      <c r="F750" t="b">
        <v>1</v>
      </c>
      <c r="G750" t="inlineStr">
        <is>
          <t>Just-suspended speed (Zwietering) at the bench</t>
        </is>
      </c>
    </row>
    <row r="751">
      <c r="A751" t="inlineStr">
        <is>
          <t>rx_yeast_T_C</t>
        </is>
      </c>
      <c r="B751" s="4" t="n">
        <v>32</v>
      </c>
      <c r="C751" t="inlineStr">
        <is>
          <t>C</t>
        </is>
      </c>
      <c r="D751" t="inlineStr">
        <is>
          <t>BAI2008</t>
        </is>
      </c>
    </row>
    <row r="752">
      <c r="A752" t="inlineStr">
        <is>
          <t>rx_yeast_tau_h</t>
        </is>
      </c>
      <c r="B752" s="4" t="n">
        <v>48</v>
      </c>
      <c r="C752" t="inlineStr">
        <is>
          <t>h</t>
        </is>
      </c>
      <c r="D752" t="inlineStr">
        <is>
          <t>BAI2008</t>
        </is>
      </c>
    </row>
    <row r="753">
      <c r="A753" t="inlineStr">
        <is>
          <t>s_316L_38C_MPa</t>
        </is>
      </c>
      <c r="B753" s="4" t="n">
        <v>115</v>
      </c>
      <c r="C753" t="inlineStr">
        <is>
          <t>MPa allowable, SA-312 TP316L seamless, -29 to 38 C</t>
        </is>
      </c>
      <c r="D753" t="inlineStr">
        <is>
          <t>ASME_II_D</t>
        </is>
      </c>
    </row>
    <row r="754">
      <c r="A754" t="inlineStr">
        <is>
          <t>s_316L_400C_MPa_lower_bound</t>
        </is>
      </c>
      <c r="B754" s="4" t="n">
        <v>80</v>
      </c>
      <c r="C754" t="inlineStr">
        <is>
          <t>MPa</t>
        </is>
      </c>
      <c r="E754" t="inlineStr">
        <is>
          <t>A-M-157</t>
        </is>
      </c>
      <c r="F754" t="b">
        <v>1</v>
      </c>
      <c r="G754" t="inlineStr">
        <is>
          <t>read ASME II-D Table 1A for SA-312 TP316L at 400 C</t>
        </is>
      </c>
    </row>
    <row r="755">
      <c r="A755" t="inlineStr">
        <is>
          <t>sa240_316L_S_MPa_200C</t>
        </is>
      </c>
      <c r="B755" s="4" t="n">
        <v>115</v>
      </c>
      <c r="C755" t="inlineStr">
        <is>
          <t>MPa, SA-240 316L at 200 C</t>
        </is>
      </c>
      <c r="D755" t="inlineStr">
        <is>
          <t>ASME_II_D</t>
        </is>
      </c>
    </row>
    <row r="756">
      <c r="A756" t="inlineStr">
        <is>
          <t>san_cake_TS</t>
        </is>
      </c>
      <c r="B756" s="4" t="n">
        <v>0.2</v>
      </c>
      <c r="C756" t="inlineStr">
        <is>
          <t>cake dry solids fraction after screw press</t>
        </is>
      </c>
      <c r="D756" t="inlineStr">
        <is>
          <t>METCALF5</t>
        </is>
      </c>
      <c r="F756" t="b">
        <v>1</v>
      </c>
      <c r="G756" t="inlineStr">
        <is>
          <t>Cake TS on the in-house screw press</t>
        </is>
      </c>
    </row>
    <row r="757">
      <c r="A757" t="inlineStr">
        <is>
          <t>san_compost_fraction</t>
        </is>
      </c>
      <c r="B757" s="4" t="n">
        <v>0.25</v>
      </c>
      <c r="C757" t="inlineStr">
        <is>
          <t>share of excreta to compost toilets (daily average; each path sized for 100 %)</t>
        </is>
      </c>
      <c r="E757" t="inlineStr">
        <is>
          <t>A-M-118</t>
        </is>
      </c>
      <c r="F757" t="b">
        <v>1</v>
      </c>
      <c r="G757" t="inlineStr">
        <is>
          <t>Owner HAB fit-out (number of each toilet type) and use log</t>
        </is>
      </c>
    </row>
    <row r="758">
      <c r="A758" t="inlineStr">
        <is>
          <t>san_cover_dry</t>
        </is>
      </c>
      <c r="B758" s="4" t="n">
        <v>0.3</v>
      </c>
      <c r="C758" t="inlineStr">
        <is>
          <t>dry fraction of compost-toilet cover and bed return</t>
        </is>
      </c>
      <c r="E758" t="inlineStr">
        <is>
          <t>A-M-118</t>
        </is>
      </c>
      <c r="F758" t="b">
        <v>1</v>
      </c>
      <c r="G758" t="inlineStr">
        <is>
          <t>TS of cover material</t>
        </is>
      </c>
    </row>
    <row r="759">
      <c r="A759" t="inlineStr">
        <is>
          <t>san_crew</t>
        </is>
      </c>
      <c r="B759" s="4" t="n">
        <v>4</v>
      </c>
      <c r="C759" t="inlineStr">
        <is>
          <t>persons, HAB design occupancy (HABITATION params.crew_study)</t>
        </is>
      </c>
      <c r="E759" t="inlineStr">
        <is>
          <t>A-M-118</t>
        </is>
      </c>
      <c r="F759" t="b">
        <v>1</v>
      </c>
      <c r="G759" t="inlineStr">
        <is>
          <t>Owner occupancy schedule</t>
        </is>
      </c>
    </row>
    <row r="760">
      <c r="A760" t="inlineStr">
        <is>
          <t>san_digest_T_C</t>
        </is>
      </c>
      <c r="B760" s="4" t="n">
        <v>55</v>
      </c>
      <c r="C760" t="inlineStr">
        <is>
          <t>C thermophilic digestion</t>
        </is>
      </c>
      <c r="D760" t="inlineStr">
        <is>
          <t>METCALF5</t>
        </is>
      </c>
      <c r="F760" t="b">
        <v>0</v>
      </c>
    </row>
    <row r="761">
      <c r="A761" t="inlineStr">
        <is>
          <t>san_digest_srt_d</t>
        </is>
      </c>
      <c r="B761" s="4" t="n">
        <v>15</v>
      </c>
      <c r="C761" t="inlineStr">
        <is>
          <t>d thermophilic SRT</t>
        </is>
      </c>
      <c r="D761" t="inlineStr">
        <is>
          <t>METCALF5</t>
        </is>
      </c>
      <c r="F761" t="b">
        <v>1</v>
      </c>
      <c r="G761" t="inlineStr">
        <is>
          <t>Digester stability (VFA/alkalinity) at 15 d</t>
        </is>
      </c>
    </row>
    <row r="762">
      <c r="A762" t="inlineStr">
        <is>
          <t>san_farm_sep_m</t>
        </is>
      </c>
      <c r="B762" s="4" t="n">
        <v>7.62</v>
      </c>
      <c r="C762" t="inlineStr">
        <is>
          <t>m minimum edge distance, sanitation units to any FARM unit, in addition to the HAB/FARM wall and separate ventilation</t>
        </is>
      </c>
      <c r="E762" t="inlineStr">
        <is>
          <t>A-M-118</t>
        </is>
      </c>
      <c r="F762" t="b">
        <v>1</v>
      </c>
      <c r="G762" t="inlineStr">
        <is>
          <t>Owner and AHJ review; air-pressure cascade test FARM &gt; HAB corridor &gt; sanitation room</t>
        </is>
      </c>
    </row>
    <row r="763">
      <c r="A763" t="inlineStr">
        <is>
          <t>san_feces_dry_kg_cap_d</t>
        </is>
      </c>
      <c r="B763" s="4" t="n">
        <v>0.028</v>
      </c>
      <c r="C763" t="inlineStr">
        <is>
          <t>kg/(cap d) faecal dry solids, median</t>
        </is>
      </c>
      <c r="D763" t="inlineStr">
        <is>
          <t>ROSE2015</t>
        </is>
      </c>
      <c r="F763" t="b">
        <v>0</v>
      </c>
    </row>
    <row r="764">
      <c r="A764" t="inlineStr">
        <is>
          <t>san_feces_wet_kg_cap_d</t>
        </is>
      </c>
      <c r="B764" s="4" t="n">
        <v>0.128</v>
      </c>
      <c r="C764" t="inlineStr">
        <is>
          <t>kg/(cap d) wet faeces, median</t>
        </is>
      </c>
      <c r="D764" t="inlineStr">
        <is>
          <t>ROSE2015</t>
        </is>
      </c>
      <c r="F764" t="b">
        <v>0</v>
      </c>
    </row>
    <row r="765">
      <c r="A765" t="inlineStr">
        <is>
          <t>san_flush_L</t>
        </is>
      </c>
      <c r="B765" s="4" t="n">
        <v>1</v>
      </c>
      <c r="C765" t="inlineStr">
        <is>
          <t>L per flush, vacuum toilet</t>
        </is>
      </c>
      <c r="D765" t="inlineStr">
        <is>
          <t>LARSEN2013</t>
        </is>
      </c>
      <c r="F765" t="b">
        <v>1</v>
      </c>
      <c r="G765" t="inlineStr">
        <is>
          <t>Flush volume on the in-house vacuum toilet prototype</t>
        </is>
      </c>
    </row>
    <row r="766">
      <c r="A766" t="inlineStr">
        <is>
          <t>san_flushes_cap_d</t>
        </is>
      </c>
      <c r="B766" s="4" t="n">
        <v>5</v>
      </c>
      <c r="C766" t="inlineStr">
        <is>
          <t>flushes per person per day</t>
        </is>
      </c>
      <c r="E766" t="inlineStr">
        <is>
          <t>A-M-118</t>
        </is>
      </c>
      <c r="F766" t="b">
        <v>1</v>
      </c>
      <c r="G766" t="inlineStr">
        <is>
          <t>Flush counter on the HAB toilets for 30 days</t>
        </is>
      </c>
    </row>
    <row r="767">
      <c r="A767" t="inlineStr">
        <is>
          <t>san_hold_d</t>
        </is>
      </c>
      <c r="B767" s="4" t="n">
        <v>3</v>
      </c>
      <c r="C767" t="inlineStr">
        <is>
          <t>d batch hold before release (72 h alkaline contact when used; release on test)</t>
        </is>
      </c>
      <c r="D767" t="inlineStr">
        <is>
          <t>EPA503</t>
        </is>
      </c>
      <c r="F767" t="b">
        <v>0</v>
      </c>
    </row>
    <row r="768">
      <c r="A768" t="inlineStr">
        <is>
          <t>san_past_T_C</t>
        </is>
      </c>
      <c r="B768" s="4" t="n">
        <v>70</v>
      </c>
      <c r="C768" t="inlineStr">
        <is>
          <t>C pasteurisation, held &gt;= 30 min (40 CFR 503 App. B PFRP)</t>
        </is>
      </c>
      <c r="D768" t="inlineStr">
        <is>
          <t>EPA503</t>
        </is>
      </c>
      <c r="F768" t="b">
        <v>0</v>
      </c>
    </row>
    <row r="769">
      <c r="A769" t="inlineStr">
        <is>
          <t>san_past_batches_d</t>
        </is>
      </c>
      <c r="B769" s="4" t="n">
        <v>4</v>
      </c>
      <c r="C769" t="inlineStr">
        <is>
          <t>batches per day</t>
        </is>
      </c>
      <c r="E769" t="inlineStr">
        <is>
          <t>A-M-118</t>
        </is>
      </c>
      <c r="F769" t="b">
        <v>1</v>
      </c>
      <c r="G769" t="inlineStr">
        <is>
          <t>Pasteuriser cycle log</t>
        </is>
      </c>
    </row>
    <row r="770">
      <c r="A770" t="inlineStr">
        <is>
          <t>san_past_min</t>
        </is>
      </c>
      <c r="B770" s="4" t="n">
        <v>30</v>
      </c>
      <c r="C770" t="inlineStr">
        <is>
          <t>min hold at temperature</t>
        </is>
      </c>
      <c r="D770" t="inlineStr">
        <is>
          <t>EPA503</t>
        </is>
      </c>
      <c r="F770" t="b">
        <v>0</v>
      </c>
    </row>
    <row r="771">
      <c r="A771" t="inlineStr">
        <is>
          <t>san_urine_kg_cap_d</t>
        </is>
      </c>
      <c r="B771" s="4" t="n">
        <v>1.42</v>
      </c>
      <c r="C771" t="inlineStr">
        <is>
          <t>kg/(cap d) urine, median</t>
        </is>
      </c>
      <c r="D771" t="inlineStr">
        <is>
          <t>ROSE2015</t>
        </is>
      </c>
      <c r="F771" t="b">
        <v>0</v>
      </c>
    </row>
    <row r="772">
      <c r="A772" t="inlineStr">
        <is>
          <t>san_vs_destruction</t>
        </is>
      </c>
      <c r="B772" s="4" t="n">
        <v>0.5</v>
      </c>
      <c r="C772" t="inlineStr">
        <is>
          <t>fraction of VS destroyed, thermophilic anaerobic</t>
        </is>
      </c>
      <c r="D772" t="inlineStr">
        <is>
          <t>METCALF5</t>
        </is>
      </c>
      <c r="F772" t="b">
        <v>1</v>
      </c>
      <c r="G772" t="inlineStr">
        <is>
          <t>VS reduction across BLACK_DIGEST (Standard Methods 2540 G)</t>
        </is>
      </c>
    </row>
    <row r="773">
      <c r="A773" t="inlineStr">
        <is>
          <t>san_vs_fraction</t>
        </is>
      </c>
      <c r="B773" s="4" t="n">
        <v>0.85</v>
      </c>
      <c r="C773" t="inlineStr">
        <is>
          <t>VS / TS of faeces</t>
        </is>
      </c>
      <c r="D773" t="inlineStr">
        <is>
          <t>ROSE2015</t>
        </is>
      </c>
      <c r="F773" t="b">
        <v>1</v>
      </c>
      <c r="G773" t="inlineStr">
        <is>
          <t>TS/VS (Standard Methods 2540 G) on the digester feed</t>
        </is>
      </c>
    </row>
    <row r="774">
      <c r="A774" t="inlineStr">
        <is>
          <t>sec_ocpd_max_A</t>
        </is>
      </c>
      <c r="B774" s="4" t="n">
        <v>1000</v>
      </c>
      <c r="C774" t="inlineStr">
        <is>
          <t>A, largest section breaker (stays below the NEC 240.87 1200 A arc-energy-reduction threshold)</t>
        </is>
      </c>
      <c r="D774" t="inlineStr">
        <is>
          <t>NEC2023_240</t>
        </is>
      </c>
      <c r="F774" t="b">
        <v>0</v>
      </c>
    </row>
    <row r="775">
      <c r="A775" t="inlineStr">
        <is>
          <t>site_design_dry_bulb_C</t>
        </is>
      </c>
      <c r="B775" s="4" t="n">
        <v>37.8</v>
      </c>
      <c r="C775" t="inlineStr">
        <is>
          <t>C</t>
        </is>
      </c>
      <c r="E775" t="inlineStr">
        <is>
          <t>AQS-SITE-002</t>
        </is>
      </c>
    </row>
    <row r="776">
      <c r="A776" t="inlineStr">
        <is>
          <t>slurry_min_DN</t>
        </is>
      </c>
      <c r="B776" s="4" t="n">
        <v>50</v>
      </c>
      <c r="C776" t="inlineStr">
        <is>
          <t>DN</t>
        </is>
      </c>
      <c r="D776" t="inlineStr">
        <is>
          <t>WILSON2006</t>
        </is>
      </c>
      <c r="F776" t="b">
        <v>1</v>
      </c>
      <c r="G776" t="inlineStr">
        <is>
          <t>Deposition-velocity check of each slurry line at its solids loading (Durand/Wilson correlation) and a flow-loop trial with the plant solids</t>
        </is>
      </c>
    </row>
    <row r="777">
      <c r="A777" t="inlineStr">
        <is>
          <t>soil_allow_kPa</t>
        </is>
      </c>
      <c r="B777" s="4" t="n">
        <v>72</v>
      </c>
      <c r="C777" t="inlineStr">
        <is>
          <t>kPa allowable bearing, presumptive clay (CL/ML/MH/CH)</t>
        </is>
      </c>
      <c r="D777" t="inlineStr">
        <is>
          <t>IBC2021_1806</t>
        </is>
      </c>
      <c r="F777" t="b">
        <v>1</v>
      </c>
      <c r="G777" t="inlineStr">
        <is>
          <t>Geotechnical investigation per IBC 1803 at the parcel: borings, swell tests, allowable bearing and modulus</t>
        </is>
      </c>
    </row>
    <row r="778">
      <c r="A778" t="inlineStr">
        <is>
          <t>soil_unit_weight_kN_m3</t>
        </is>
      </c>
      <c r="B778" s="4" t="n">
        <v>18</v>
      </c>
      <c r="C778" t="inlineStr">
        <is>
          <t>kN/m3 moist clay</t>
        </is>
      </c>
      <c r="E778" t="inlineStr">
        <is>
          <t>A-M-208</t>
        </is>
      </c>
      <c r="F778" t="b">
        <v>1</v>
      </c>
      <c r="G778" t="inlineStr">
        <is>
          <t>Geotechnical report unit weight</t>
        </is>
      </c>
    </row>
    <row r="779">
      <c r="A779" t="inlineStr">
        <is>
          <t>spares_rule</t>
        </is>
      </c>
      <c r="B779" s="4" t="inlineStr">
        <is>
          <t>{"bearing":[0.1,2],"electronics":[0.1,1],"fabricated part":[0.0,0],"fastener":[0.02,4],"instrument":[0.1,1],"motor":[0.05,1],"protection":[0.1,1],"seal":[0.2,2],"support":[0.0,0],"valve":[0.05,1]}</t>
        </is>
      </c>
      <c r="C779" t="inlineStr">
        <is>
          <t>[fraction of installed, minimum] per category; motors per family</t>
        </is>
      </c>
      <c r="E779" t="inlineStr">
        <is>
          <t>A-M-185</t>
        </is>
      </c>
      <c r="F779" t="b">
        <v>1</v>
      </c>
      <c r="G779" t="inlineStr">
        <is>
          <t>Replace with failure-rate data from the first operating year (X-OPS-02)</t>
        </is>
      </c>
    </row>
    <row r="780">
      <c r="A780" t="inlineStr">
        <is>
          <t>storage.default_no_heat_input_T_C</t>
        </is>
      </c>
      <c r="B780" s="4" t="n">
        <v>40</v>
      </c>
      <c r="C780" t="inlineStr">
        <is>
          <t>C</t>
        </is>
      </c>
      <c r="E780" t="inlineStr">
        <is>
          <t>A-M-269</t>
        </is>
      </c>
      <c r="F780" t="b">
        <v>1</v>
      </c>
      <c r="G780" t="inlineStr">
        <is>
          <t>0.4% site dry bulb 37.8 C (AQS-SITE-002) rounded up - confirm as the default</t>
        </is>
      </c>
      <c r="H780" t="inlineStr">
        <is>
          <t>storage</t>
        </is>
      </c>
      <c r="I780" t="inlineStr">
        <is>
          <t>default_no_heat_input_T_C</t>
        </is>
      </c>
    </row>
    <row r="781">
      <c r="A781" t="inlineStr">
        <is>
          <t>storage_envelope_allowance_mm</t>
        </is>
      </c>
      <c r="B781" s="4" t="n">
        <v>300</v>
      </c>
      <c r="C781" t="inlineStr">
        <is>
          <t>mm access allowance on plan and height around the sized vessel</t>
        </is>
      </c>
      <c r="E781" t="inlineStr">
        <is>
          <t>A-M-225 (sized vessel + 300 mm access becomes the unit envelope)</t>
        </is>
      </c>
    </row>
    <row r="782">
      <c r="A782" t="inlineStr">
        <is>
          <t>storage_pe_min_wall_mm</t>
        </is>
      </c>
      <c r="B782" s="4" t="n">
        <v>4.75</v>
      </c>
      <c r="C782" t="inlineStr">
        <is>
          <t>mm minimum PE wall (0.187 in)</t>
        </is>
      </c>
      <c r="D782" t="inlineStr">
        <is>
          <t>ASTM_D1998</t>
        </is>
      </c>
    </row>
    <row r="783">
      <c r="A783" t="inlineStr">
        <is>
          <t>storage_pe_sd_MPa</t>
        </is>
      </c>
      <c r="B783" s="4" t="n">
        <v>4.14</v>
      </c>
      <c r="C783" t="inlineStr">
        <is>
          <t>MPa PE hydrostatic design stress (SD 600 psi at 23 C)</t>
        </is>
      </c>
      <c r="D783" t="inlineStr">
        <is>
          <t>ASTM_D1998</t>
        </is>
      </c>
    </row>
    <row r="784">
      <c r="A784" t="inlineStr">
        <is>
          <t>storage_round_trip</t>
        </is>
      </c>
      <c r="B784" s="4" t="n">
        <v>0.7</v>
      </c>
      <c r="C784" t="inlineStr">
        <is>
          <t>-</t>
        </is>
      </c>
      <c r="E784" t="inlineStr">
        <is>
          <t>A-M-179</t>
        </is>
      </c>
      <c r="F784" t="b">
        <v>1</v>
      </c>
      <c r="G784" t="inlineStr">
        <is>
          <t>ZNBR2 in-house stack test (X-MFG-41, AQS-TST-002): round trip at 20 mA/cm2 over the daily cycle; the 0.70 design value is held below the physics prediction until then</t>
        </is>
      </c>
    </row>
    <row r="785">
      <c r="A785" t="inlineStr">
        <is>
          <t>storage_steel_allow_MPa</t>
        </is>
      </c>
      <c r="B785" s="4" t="n">
        <v>115</v>
      </c>
      <c r="C785" t="inlineStr">
        <is>
          <t>MPa SA-240 304L allowable stress</t>
        </is>
      </c>
      <c r="D785" t="inlineStr">
        <is>
          <t>ASME_VIII_1_UG27</t>
        </is>
      </c>
    </row>
    <row r="786">
      <c r="A786" t="inlineStr">
        <is>
          <t>storage_steel_min_wall_mm</t>
        </is>
      </c>
      <c r="B786" s="4" t="n">
        <v>3</v>
      </c>
      <c r="C786" t="inlineStr">
        <is>
          <t>mm minimum steel wall</t>
        </is>
      </c>
      <c r="E786" t="inlineStr">
        <is>
          <t>A-M-225</t>
        </is>
      </c>
    </row>
    <row r="787">
      <c r="A787" t="inlineStr">
        <is>
          <t>storage_tank_HD</t>
        </is>
      </c>
      <c r="B787" s="4" t="n">
        <v>1.5</v>
      </c>
      <c r="C787" t="inlineStr">
        <is>
          <t>m/m nominal upright cylinder height over diameter</t>
        </is>
      </c>
      <c r="E787" t="inlineStr">
        <is>
          <t>A-M-225</t>
        </is>
      </c>
    </row>
    <row r="788">
      <c r="A788" t="inlineStr">
        <is>
          <t>storage_tank_fill_frac</t>
        </is>
      </c>
      <c r="B788" s="4" t="n">
        <v>0.8</v>
      </c>
      <c r="C788" t="inlineStr">
        <is>
          <t>- working volume fraction (20 % freeboard and dead volume)</t>
        </is>
      </c>
      <c r="E788" t="inlineStr">
        <is>
          <t>A-M-225</t>
        </is>
      </c>
    </row>
    <row r="789">
      <c r="A789" t="inlineStr">
        <is>
          <t>struct_equip_density_kg_m3</t>
        </is>
      </c>
      <c r="B789" s="4" t="n">
        <v>150</v>
      </c>
      <c r="C789" t="inlineStr">
        <is>
          <t>kg/m3 empty equipment weight per envelope volume</t>
        </is>
      </c>
      <c r="E789" t="inlineStr">
        <is>
          <t>A-M-184</t>
        </is>
      </c>
      <c r="F789" t="b">
        <v>1</v>
      </c>
      <c r="G789" t="inlineStr">
        <is>
          <t>Replace with CAD weights per unit as models are built</t>
        </is>
      </c>
    </row>
    <row r="790">
      <c r="A790" t="inlineStr">
        <is>
          <t>struct_op_fill</t>
        </is>
      </c>
      <c r="B790" s="4" t="n">
        <v>0.5</v>
      </c>
      <c r="C790" t="inlineStr">
        <is>
          <t>- liquid fraction of envelope for liquid units without a stated hold-up</t>
        </is>
      </c>
      <c r="E790" t="inlineStr">
        <is>
          <t>A-M-184</t>
        </is>
      </c>
    </row>
    <row r="791">
      <c r="A791" t="inlineStr">
        <is>
          <t>struct_pv_kg_m2</t>
        </is>
      </c>
      <c r="B791" s="4" t="n">
        <v>17</v>
      </c>
      <c r="C791" t="inlineStr">
        <is>
          <t>kg/m2 PV modules plus ballasted racking on the roof</t>
        </is>
      </c>
      <c r="E791" t="inlineStr">
        <is>
          <t>A-M-184</t>
        </is>
      </c>
      <c r="F791" t="b">
        <v>1</v>
      </c>
      <c r="G791" t="inlineStr">
        <is>
          <t>Weigh the in-house module and rack first article</t>
        </is>
      </c>
    </row>
    <row r="792">
      <c r="A792" t="inlineStr">
        <is>
          <t>struct_tank_kg_m3</t>
        </is>
      </c>
      <c r="B792" s="4" t="n">
        <v>40</v>
      </c>
      <c r="C792" t="inlineStr">
        <is>
          <t>kg/m3 empty storage tank weight per envelope volume (thin shell)</t>
        </is>
      </c>
      <c r="E792" t="inlineStr">
        <is>
          <t>A-M-184</t>
        </is>
      </c>
      <c r="F792" t="b">
        <v>1</v>
      </c>
      <c r="G792" t="inlineStr">
        <is>
          <t>CAD weight per tank</t>
        </is>
      </c>
    </row>
    <row r="793">
      <c r="A793" t="inlineStr">
        <is>
          <t>substrate_drain_frac</t>
        </is>
      </c>
      <c r="B793" s="4" t="n">
        <v>0.2</v>
      </c>
      <c r="C793" t="inlineStr">
        <is>
          <t>-</t>
        </is>
      </c>
      <c r="D793" t="inlineStr">
        <is>
          <t>PLOSONE2017_DRAIN</t>
        </is>
      </c>
    </row>
    <row r="794">
      <c r="A794" t="inlineStr">
        <is>
          <t>upw_uv_W</t>
        </is>
      </c>
      <c r="B794" s="4" t="n">
        <v>15</v>
      </c>
      <c r="C794" t="inlineStr">
        <is>
          <t>W 185/254 nm UV lamp for TOC on the UPW loop</t>
        </is>
      </c>
      <c r="E794" t="inlineStr">
        <is>
          <t>A-M-176</t>
        </is>
      </c>
    </row>
    <row r="795">
      <c r="A795" t="inlineStr">
        <is>
          <t>vent_dP_Pa</t>
        </is>
      </c>
      <c r="B795" s="4" t="n">
        <v>500</v>
      </c>
      <c r="C795" t="inlineStr">
        <is>
          <t>Pa</t>
        </is>
      </c>
      <c r="E795" t="inlineStr">
        <is>
          <t>A-M-155</t>
        </is>
      </c>
      <c r="F795" t="b">
        <v>1</v>
      </c>
      <c r="G795" t="inlineStr">
        <is>
          <t>see A-M-155</t>
        </is>
      </c>
    </row>
    <row r="796">
      <c r="A796" t="inlineStr">
        <is>
          <t>vent_transfer_h</t>
        </is>
      </c>
      <c r="B796" s="4" t="n">
        <v>1</v>
      </c>
      <c r="C796" t="inlineStr">
        <is>
          <t>h</t>
        </is>
      </c>
      <c r="E796" t="inlineStr">
        <is>
          <t>A-M-155</t>
        </is>
      </c>
      <c r="F796" t="b">
        <v>1</v>
      </c>
      <c r="G796" t="inlineStr">
        <is>
          <t>see A-M-155</t>
        </is>
      </c>
    </row>
    <row r="797">
      <c r="A797" t="inlineStr">
        <is>
          <t>vs_T_C</t>
        </is>
      </c>
      <c r="B797" s="4" t="n">
        <v>40</v>
      </c>
      <c r="C797" t="inlineStr">
        <is>
          <t>C, vent condenser outlet</t>
        </is>
      </c>
      <c r="E797" t="inlineStr">
        <is>
          <t>A-M-111</t>
        </is>
      </c>
      <c r="F797" t="b">
        <v>1</v>
      </c>
      <c r="G797" t="inlineStr">
        <is>
          <t>Vent condenser outlet temperature at design cooling water</t>
        </is>
      </c>
    </row>
    <row r="798">
      <c r="A798" t="inlineStr">
        <is>
          <t>vs_a_m2_m3</t>
        </is>
      </c>
      <c r="B798" s="4" t="n">
        <v>340</v>
      </c>
      <c r="C798" t="inlineStr">
        <is>
          <t>m2/m3 specific area of 16 mm rings</t>
        </is>
      </c>
      <c r="D798" t="inlineStr">
        <is>
          <t>PERRY9_ABS</t>
        </is>
      </c>
      <c r="E798" t="inlineStr">
        <is>
          <t>A-M-111</t>
        </is>
      </c>
      <c r="F798" t="b">
        <v>1</v>
      </c>
      <c r="G798" t="inlineStr">
        <is>
          <t>Measured ring geometry</t>
        </is>
      </c>
    </row>
    <row r="799">
      <c r="A799" t="inlineStr">
        <is>
          <t>vs_air_mg_kg</t>
        </is>
      </c>
      <c r="B799" s="4" t="n">
        <v>21.7</v>
      </c>
      <c r="C799" t="inlineStr">
        <is>
          <t>mg air per kg feed (N2 13.4 + O2 8.3 at 25 C, 101.3 kPa, air-saturated fresh water)</t>
        </is>
      </c>
      <c r="D799" t="inlineStr">
        <is>
          <t>WEISS1970</t>
        </is>
      </c>
      <c r="E799" t="inlineStr">
        <is>
          <t>A-M-111</t>
        </is>
      </c>
      <c r="F799" t="b">
        <v>1</v>
      </c>
      <c r="G799" t="inlineStr">
        <is>
          <t>Vent gas flow meter on the column vent during commissioning</t>
        </is>
      </c>
    </row>
    <row r="800">
      <c r="A800" t="inlineStr">
        <is>
          <t>vs_d_over_dp</t>
        </is>
      </c>
      <c r="B800" s="4" t="n">
        <v>8</v>
      </c>
      <c r="C800" t="inlineStr">
        <is>
          <t>column / packing diameter minimum (wall channelling)</t>
        </is>
      </c>
      <c r="D800" t="inlineStr">
        <is>
          <t>PERRY9_ABS</t>
        </is>
      </c>
      <c r="F800" t="b">
        <v>0</v>
      </c>
    </row>
    <row r="801">
      <c r="A801" t="inlineStr">
        <is>
          <t>vs_dp_mm</t>
        </is>
      </c>
      <c r="B801" s="4" t="n">
        <v>16</v>
      </c>
      <c r="C801" t="inlineStr">
        <is>
          <t>mm, nominal packing (in-house cut PVC tube rings)</t>
        </is>
      </c>
      <c r="E801" t="inlineStr">
        <is>
          <t>A-M-111</t>
        </is>
      </c>
      <c r="F801" t="b">
        <v>1</v>
      </c>
      <c r="G801" t="inlineStr">
        <is>
          <t>Pressure drop and wetting test on the cut rings</t>
        </is>
      </c>
    </row>
    <row r="802">
      <c r="A802" t="inlineStr">
        <is>
          <t>vs_margin</t>
        </is>
      </c>
      <c r="B802" s="4" t="n">
        <v>1.5</v>
      </c>
      <c r="C802" t="inlineStr">
        <is>
          <t>packed height margin</t>
        </is>
      </c>
      <c r="E802" t="inlineStr">
        <is>
          <t>A-M-111</t>
        </is>
      </c>
      <c r="F802" t="b">
        <v>1</v>
      </c>
      <c r="G802" t="inlineStr">
        <is>
          <t>as vs_htu_m</t>
        </is>
      </c>
    </row>
    <row r="803">
      <c r="A803" t="inlineStr">
        <is>
          <t>vs_mwr</t>
        </is>
      </c>
      <c r="B803" s="4" t="n">
        <v>0.08</v>
      </c>
      <c r="C803" t="inlineStr">
        <is>
          <t>m3/(m h) minimum wetting rate, packings below 75 mm</t>
        </is>
      </c>
      <c r="D803" t="inlineStr">
        <is>
          <t>PERRY9_ABS</t>
        </is>
      </c>
      <c r="F803" t="b">
        <v>0</v>
      </c>
    </row>
    <row r="804">
      <c r="A804" t="inlineStr">
        <is>
          <t>vs_naoh_excess</t>
        </is>
      </c>
      <c r="B804" s="4" t="n">
        <v>2</v>
      </c>
      <c r="C804" t="inlineStr">
        <is>
          <t>mol NaOH fed / mol HCl absorbed</t>
        </is>
      </c>
      <c r="E804" t="inlineStr">
        <is>
          <t>A-M-111</t>
        </is>
      </c>
      <c r="F804" t="b">
        <v>1</v>
      </c>
      <c r="G804" t="inlineStr">
        <is>
          <t>Sump pH above 12 at the bleed rate</t>
        </is>
      </c>
    </row>
    <row r="805">
      <c r="A805" t="inlineStr">
        <is>
          <t>vs_p_shell_case</t>
        </is>
      </c>
      <c r="B805" s="4" t="inlineStr">
        <is>
          <t>upset</t>
        </is>
      </c>
      <c r="C805" t="inlineStr">
        <is>
          <t>design case: column bypassed, condensate at the body vapour composition (17.1 wt% HCl); normal case reported</t>
        </is>
      </c>
      <c r="E805" t="inlineStr">
        <is>
          <t>A-M-111</t>
        </is>
      </c>
      <c r="F805" t="b">
        <v>1</v>
      </c>
      <c r="G805" t="inlineStr">
        <is>
          <t>Condensate titration during start-up before the column profile forms</t>
        </is>
      </c>
    </row>
    <row r="806">
      <c r="A806" t="inlineStr">
        <is>
          <t>vs_y_out_ppm</t>
        </is>
      </c>
      <c r="B806" s="4" t="n">
        <v>1</v>
      </c>
      <c r="C806" t="inlineStr">
        <is>
          <t>ppmv HCl at the scrubber outlet (half the ACGIH TLV-C 2 ppm)</t>
        </is>
      </c>
      <c r="D806" t="inlineStr">
        <is>
          <t>ACGIH_HCL</t>
        </is>
      </c>
      <c r="E806" t="inlineStr">
        <is>
          <t>A-M-111</t>
        </is>
      </c>
      <c r="F806" t="b">
        <v>1</v>
      </c>
      <c r="G806" t="inlineStr">
        <is>
          <t>Outlet HCl by NIOSH 7903 sampling</t>
        </is>
      </c>
    </row>
    <row r="807">
      <c r="A807" t="inlineStr">
        <is>
          <t>water_cp_kJ_kgK</t>
        </is>
      </c>
      <c r="B807" s="4" t="n">
        <v>4.18</v>
      </c>
      <c r="C807" t="inlineStr">
        <is>
          <t>kJ/(kg K)</t>
        </is>
      </c>
      <c r="D807" t="inlineStr">
        <is>
          <t>INCROPERA7</t>
        </is>
      </c>
    </row>
    <row r="808">
      <c r="A808" t="inlineStr">
        <is>
          <t>wt_Ie</t>
        </is>
      </c>
      <c r="B808" s="4" t="n">
        <v>1.5</v>
      </c>
      <c r="C808" t="inlineStr">
        <is>
          <t>- importance factor, Risk Category IV (life-support energy)</t>
        </is>
      </c>
      <c r="E808" t="inlineStr">
        <is>
          <t>A-M-187</t>
        </is>
      </c>
      <c r="F808" t="b">
        <v>1</v>
      </c>
      <c r="G808" t="inlineStr">
        <is>
          <t>Structural and geotechnical design of the reservoir floors and the site seismic and wind study</t>
        </is>
      </c>
    </row>
    <row r="809">
      <c r="A809" t="inlineStr">
        <is>
          <t>wt_R</t>
        </is>
      </c>
      <c r="B809" s="4" t="n">
        <v>3</v>
      </c>
      <c r="C809" t="inlineStr">
        <is>
          <t>- response modification, elevated-mass structure (conservative)</t>
        </is>
      </c>
      <c r="E809" t="inlineStr">
        <is>
          <t>A-M-187</t>
        </is>
      </c>
      <c r="F809" t="b">
        <v>1</v>
      </c>
      <c r="G809" t="inlineStr">
        <is>
          <t>Structural and geotechnical design of the reservoir floors and the site seismic and wind study</t>
        </is>
      </c>
    </row>
    <row r="810">
      <c r="A810" t="inlineStr">
        <is>
          <t>wt_SD1</t>
        </is>
      </c>
      <c r="B810" s="4" t="n">
        <v>0.08</v>
      </c>
      <c r="C810" t="inlineStr">
        <is>
          <t>g design 1 s spectral acceleration = 2/3 Fv S1, AQS-SITE-002 S1 0.05 g, site class D, Fv 2.4 (ASCE 7-22 Table 11.4-2)</t>
        </is>
      </c>
      <c r="D810" t="inlineStr">
        <is>
          <t>ASCE7_22</t>
        </is>
      </c>
      <c r="F810" t="b">
        <v>1</v>
      </c>
      <c r="G810" t="inlineStr">
        <is>
          <t>ASCE Hazard Tool lookup at the fixed parcel and site class from the geotechnical report (AQS-SITE-002 held)</t>
        </is>
      </c>
    </row>
    <row r="811">
      <c r="A811" t="inlineStr">
        <is>
          <t>wt_SDS</t>
        </is>
      </c>
      <c r="B811" s="4" t="n">
        <v>0.107</v>
      </c>
      <c r="C811" t="inlineStr">
        <is>
          <t>g design short-period spectral acceleration = 2/3 Fa Ss, AQS-SITE-002 Ss 0.10 g, site class D, Fa 1.6 (ASCE 7-22 Table 11.4-1)</t>
        </is>
      </c>
      <c r="D811" t="inlineStr">
        <is>
          <t>ASCE7_22</t>
        </is>
      </c>
      <c r="F811" t="b">
        <v>1</v>
      </c>
      <c r="G811" t="inlineStr">
        <is>
          <t>ASCE Hazard Tool lookup at the fixed parcel and site class from the geotechnical report (AQS-SITE-002 held)</t>
        </is>
      </c>
    </row>
    <row r="812">
      <c r="A812" t="inlineStr">
        <is>
          <t>wt_TL_s</t>
        </is>
      </c>
      <c r="B812" s="4" t="n">
        <v>8</v>
      </c>
      <c r="C812" t="inlineStr">
        <is>
          <t>s long-period transition</t>
        </is>
      </c>
      <c r="E812" t="inlineStr">
        <is>
          <t>A-M-187</t>
        </is>
      </c>
      <c r="F812" t="b">
        <v>1</v>
      </c>
      <c r="G812" t="inlineStr">
        <is>
          <t>Structural and geotechnical design of the reservoir floors and the site seismic and wind study</t>
        </is>
      </c>
    </row>
    <row r="813">
      <c r="A813" t="inlineStr">
        <is>
          <t>wt_cell_len_m</t>
        </is>
      </c>
      <c r="B813" s="4" t="n">
        <v>12</v>
      </c>
      <c r="C813" t="inlineStr">
        <is>
          <t>m max reservoir cell length (sloshing; min 2 cells per level)</t>
        </is>
      </c>
      <c r="E813" t="inlineStr">
        <is>
          <t>A-M-187</t>
        </is>
      </c>
      <c r="F813" t="b">
        <v>1</v>
      </c>
      <c r="G813" t="inlineStr">
        <is>
          <t>Structural and geotechnical design of the reservoir floors and the site seismic and wind study</t>
        </is>
      </c>
    </row>
    <row r="814">
      <c r="A814" t="inlineStr">
        <is>
          <t>wt_core_frac</t>
        </is>
      </c>
      <c r="B814" s="4" t="n">
        <v>0.15</v>
      </c>
      <c r="C814" t="inlineStr">
        <is>
          <t>- plate fraction kept for stair, lift and penstock cores</t>
        </is>
      </c>
      <c r="E814" t="inlineStr">
        <is>
          <t>A-M-187</t>
        </is>
      </c>
      <c r="F814" t="b">
        <v>1</v>
      </c>
      <c r="G814" t="inlineStr">
        <is>
          <t>Structural and geotechnical design of the reservoir floors and the site seismic and wind study</t>
        </is>
      </c>
    </row>
    <row r="815">
      <c r="A815" t="inlineStr">
        <is>
          <t>wt_freeboard_m</t>
        </is>
      </c>
      <c r="B815" s="4" t="n">
        <v>0.5</v>
      </c>
      <c r="C815" t="inlineStr">
        <is>
          <t>m freeboard, lower reservoir</t>
        </is>
      </c>
      <c r="E815" t="inlineStr">
        <is>
          <t>A-M-187</t>
        </is>
      </c>
      <c r="F815" t="b">
        <v>1</v>
      </c>
      <c r="G815" t="inlineStr">
        <is>
          <t>Structural and geotechnical design of the reservoir floors and the site seismic and wind study</t>
        </is>
      </c>
    </row>
    <row r="816">
      <c r="A816" t="inlineStr">
        <is>
          <t>wt_level_clear_mm</t>
        </is>
      </c>
      <c r="B816" s="4" t="n">
        <v>6000</v>
      </c>
      <c r="C816" t="inlineStr">
        <is>
          <t>mm reservoir storey floor-to-floor</t>
        </is>
      </c>
      <c r="E816" t="inlineStr">
        <is>
          <t>A-M-187</t>
        </is>
      </c>
      <c r="F816" t="b">
        <v>1</v>
      </c>
      <c r="G816" t="inlineStr">
        <is>
          <t>Structural and geotechnical design of the reservoir floors and the site seismic and wind study</t>
        </is>
      </c>
    </row>
    <row r="817">
      <c r="A817" t="inlineStr">
        <is>
          <t>wt_life_per_shop</t>
        </is>
      </c>
      <c r="B817" s="4" t="n">
        <v>2</v>
      </c>
      <c r="C817" t="inlineStr">
        <is>
          <t>- HAB/FARM levels added per added shop level as the building grows (owner rule, Q-009)</t>
        </is>
      </c>
      <c r="E817" t="inlineStr">
        <is>
          <t>A-M-187</t>
        </is>
      </c>
    </row>
    <row r="818">
      <c r="A818" t="inlineStr">
        <is>
          <t>wt_penstock_loss_frac</t>
        </is>
      </c>
      <c r="B818" s="4" t="n">
        <v>0.05</v>
      </c>
      <c r="C818" t="inlineStr">
        <is>
          <t>- penstock friction as fraction of head</t>
        </is>
      </c>
      <c r="E818" t="inlineStr">
        <is>
          <t>A-M-187</t>
        </is>
      </c>
      <c r="F818" t="b">
        <v>1</v>
      </c>
      <c r="G818" t="inlineStr">
        <is>
          <t>Structural and geotechnical design of the reservoir floors and the site seismic and wind study</t>
        </is>
      </c>
    </row>
    <row r="819">
      <c r="A819" t="inlineStr">
        <is>
          <t>wt_water_max_m</t>
        </is>
      </c>
      <c r="B819" s="4" t="n">
        <v>4.5</v>
      </c>
      <c r="C819" t="inlineStr">
        <is>
          <t>m max water depth per reservoir level (slab load 44 kPa)</t>
        </is>
      </c>
      <c r="E819" t="inlineStr">
        <is>
          <t>A-M-187</t>
        </is>
      </c>
      <c r="F819" t="b">
        <v>1</v>
      </c>
      <c r="G819" t="inlineStr">
        <is>
          <t>Structural and geotechnical design of the reservoir floors and the site seismic and wind study</t>
        </is>
      </c>
    </row>
    <row r="820">
      <c r="A820" t="inlineStr">
        <is>
          <t>wt_wind_ms</t>
        </is>
      </c>
      <c r="B820" s="4" t="n">
        <v>50</v>
      </c>
      <c r="C820" t="inlineStr">
        <is>
          <t>m/s basic wind speed (site unknown)</t>
        </is>
      </c>
      <c r="E820" t="inlineStr">
        <is>
          <t>A-M-187</t>
        </is>
      </c>
      <c r="F820" t="b">
        <v>1</v>
      </c>
      <c r="G820" t="inlineStr">
        <is>
          <t>Structural and geotechnical design of the reservoir floors and the site seismic and wind study</t>
        </is>
      </c>
    </row>
    <row r="821">
      <c r="A821" t="inlineStr">
        <is>
          <t>xfmr_Z_pu</t>
        </is>
      </c>
      <c r="B821" s="4" t="n">
        <v>0.0575</v>
      </c>
      <c r="C821" t="inlineStr">
        <is>
          <t>pu pad-mount transformer impedance</t>
        </is>
      </c>
      <c r="D821" t="inlineStr">
        <is>
          <t>IEEE_C57_12_34</t>
        </is>
      </c>
      <c r="F821" t="b">
        <v>1</v>
      </c>
      <c r="G821" t="inlineStr">
        <is>
          <t>Transformer nameplate</t>
        </is>
      </c>
    </row>
    <row r="822">
      <c r="A822" t="inlineStr">
        <is>
          <t>zeolite5A_CO2_wt_frac</t>
        </is>
      </c>
      <c r="B822" s="4" t="n">
        <v>0.01</v>
      </c>
      <c r="C822" t="inlineStr">
        <is>
          <t>kg/kg at 0.4 kPa</t>
        </is>
      </c>
      <c r="D822" t="inlineStr">
        <is>
          <t>NASA_5A1998</t>
        </is>
      </c>
    </row>
    <row r="823">
      <c r="A823" t="inlineStr">
        <is>
          <t>znbr_ASR_ohm_cm2</t>
        </is>
      </c>
      <c r="B823" s="4" t="n">
        <v>5</v>
      </c>
      <c r="C823" t="inlineStr">
        <is>
          <t>ohm cm2 cell area-specific resistance</t>
        </is>
      </c>
      <c r="E823" t="inlineStr">
        <is>
          <t>A-M-179</t>
        </is>
      </c>
      <c r="F823" t="b">
        <v>1</v>
      </c>
      <c r="G823" t="inlineStr">
        <is>
          <t>ZNBR2 stack test (X-MFG-41, AQS-TST-002)</t>
        </is>
      </c>
    </row>
    <row r="824">
      <c r="A824" t="inlineStr">
        <is>
          <t>znbr_aux_frac</t>
        </is>
      </c>
      <c r="B824" s="4" t="n">
        <v>0.03</v>
      </c>
      <c r="C824" t="inlineStr">
        <is>
          <t>- pump and control energy as a fraction of throughput</t>
        </is>
      </c>
      <c r="E824" t="inlineStr">
        <is>
          <t>A-M-179</t>
        </is>
      </c>
      <c r="F824" t="b">
        <v>1</v>
      </c>
      <c r="G824" t="inlineStr">
        <is>
          <t>ZNBR2 stack test (X-MFG-41, AQS-TST-002)</t>
        </is>
      </c>
    </row>
    <row r="825">
      <c r="A825" t="inlineStr">
        <is>
          <t>znbr_cell_V</t>
        </is>
      </c>
      <c r="B825" s="4" t="n">
        <v>1.82</v>
      </c>
      <c r="C825" t="inlineStr">
        <is>
          <t>V</t>
        </is>
      </c>
      <c r="D825" t="inlineStr">
        <is>
          <t>SAND2000-0893</t>
        </is>
      </c>
    </row>
    <row r="826">
      <c r="A826" t="inlineStr">
        <is>
          <t>znbr_charge_h</t>
        </is>
      </c>
      <c r="B826" s="4" t="n">
        <v>6</v>
      </c>
      <c r="C826" t="inlineStr">
        <is>
          <t>h/d</t>
        </is>
      </c>
      <c r="E826" t="inlineStr">
        <is>
          <t>A-M-135</t>
        </is>
      </c>
      <c r="F826" t="b">
        <v>1</v>
      </c>
      <c r="G826" t="inlineStr">
        <is>
          <t>see A-M-135</t>
        </is>
      </c>
    </row>
    <row r="827">
      <c r="A827" t="inlineStr">
        <is>
          <t>znbr_crossover_loss</t>
        </is>
      </c>
      <c r="B827" s="4" t="n">
        <v>0.05</v>
      </c>
      <c r="C827" t="inlineStr">
        <is>
          <t>- coulombic loss to Br2 crossover and self-discharge over the day</t>
        </is>
      </c>
      <c r="E827" t="inlineStr">
        <is>
          <t>A-M-179</t>
        </is>
      </c>
      <c r="F827" t="b">
        <v>1</v>
      </c>
      <c r="G827" t="inlineStr">
        <is>
          <t>ZNBR2 stack test (X-MFG-41, AQS-TST-002)</t>
        </is>
      </c>
    </row>
    <row r="828">
      <c r="A828" t="inlineStr">
        <is>
          <t>znbr_her_mL_h_cm2</t>
        </is>
      </c>
      <c r="B828" s="4" t="n">
        <v>0.055</v>
      </c>
      <c r="C828" t="inlineStr">
        <is>
          <t>mL/h/cm2 at 20 mA/cm2</t>
        </is>
      </c>
      <c r="D828" t="inlineStr">
        <is>
          <t>ZBFB_REVIEW2023</t>
        </is>
      </c>
    </row>
    <row r="829">
      <c r="A829" t="inlineStr">
        <is>
          <t>znbr_j_mA_cm2</t>
        </is>
      </c>
      <c r="B829" s="4" t="n">
        <v>20</v>
      </c>
      <c r="C829" t="inlineStr">
        <is>
          <t>mA/cm2</t>
        </is>
      </c>
      <c r="D829" t="inlineStr">
        <is>
          <t>ZBFB_REVIEW2023</t>
        </is>
      </c>
    </row>
    <row r="830">
      <c r="A830" t="inlineStr">
        <is>
          <t>znbr_oc_corr_mL_h_cm2</t>
        </is>
      </c>
      <c r="B830" s="4" t="n">
        <v>0.0032</v>
      </c>
      <c r="C830" t="inlineStr">
        <is>
          <t>mL/h/cm2</t>
        </is>
      </c>
      <c r="D830" t="inlineStr">
        <is>
          <t>ZBFB_REVIEW2023</t>
        </is>
      </c>
    </row>
  </sheetData>
  <autoFilter ref="A1:L8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7" customWidth="1" min="3" max="3"/>
    <col width="11" customWidth="1" min="4" max="4"/>
    <col width="24" customWidth="1" min="5" max="5"/>
    <col width="40" customWidth="1" min="6" max="6"/>
    <col width="8" customWidth="1" min="7" max="7"/>
    <col width="12" customWidth="1" min="8" max="8"/>
    <col width="10" customWidth="1" min="9" max="9"/>
    <col width="15" customWidth="1" min="10" max="10"/>
  </cols>
  <sheetData>
    <row r="1">
      <c r="A1" s="3" t="inlineStr">
        <is>
          <t>node_id</t>
        </is>
      </c>
      <c r="B1" s="3" t="inlineStr">
        <is>
          <t>parent</t>
        </is>
      </c>
      <c r="C1" s="3" t="inlineStr">
        <is>
          <t>level</t>
        </is>
      </c>
      <c r="D1" s="3" t="inlineStr">
        <is>
          <t>type</t>
        </is>
      </c>
      <c r="E1" s="3" t="inlineStr">
        <is>
          <t>unit_id</t>
        </is>
      </c>
      <c r="F1" s="3" t="inlineStr">
        <is>
          <t>description</t>
        </is>
      </c>
      <c r="G1" s="3" t="inlineStr">
        <is>
          <t>units</t>
        </is>
      </c>
      <c r="H1" s="3" t="inlineStr">
        <is>
          <t>kw_sum</t>
        </is>
      </c>
      <c r="I1" s="3" t="inlineStr">
        <is>
          <t>kw_stamped</t>
        </is>
      </c>
      <c r="J1" s="3" t="inlineStr">
        <is>
          <t>worst_presence</t>
        </is>
      </c>
    </row>
    <row r="2">
      <c r="A2" t="inlineStr">
        <is>
          <t>CRYO</t>
        </is>
      </c>
      <c r="C2" t="n">
        <v>0</v>
      </c>
      <c r="D2" t="inlineStr">
        <is>
          <t>root</t>
        </is>
      </c>
      <c r="F2" t="inlineStr">
        <is>
          <t>Utility / header — cold-box O2/N2/CO2/H2; not a generation class.</t>
        </is>
      </c>
      <c r="G2" t="n">
        <v>14</v>
      </c>
      <c r="H2" s="5" t="n">
        <v>24.7005</v>
      </c>
      <c r="I2" t="n">
        <v>4</v>
      </c>
      <c r="J2" t="inlineStr">
        <is>
          <t>present</t>
        </is>
      </c>
    </row>
    <row r="3">
      <c r="A3" t="inlineStr">
        <is>
          <t>CRYO.cold-box-asu-recovery-train</t>
        </is>
      </c>
      <c r="B3" t="inlineStr">
        <is>
          <t>CRYO</t>
        </is>
      </c>
      <c r="C3" t="n">
        <v>1</v>
      </c>
      <c r="D3" t="inlineStr">
        <is>
          <t>train</t>
        </is>
      </c>
      <c r="F3" t="inlineStr">
        <is>
          <t>ASU and the N2/O2/CO2/H2 cold boxes with recovery: PEM electrolysis feed, cryo AHU, dedicated cooling and Q4 HX, product cylinders and relief.</t>
        </is>
      </c>
      <c r="G3" t="n">
        <v>14</v>
      </c>
      <c r="H3" s="5" t="n">
        <v>24.7005</v>
      </c>
      <c r="I3" t="n">
        <v>4</v>
      </c>
      <c r="J3" t="inlineStr">
        <is>
          <t>present</t>
        </is>
      </c>
    </row>
    <row r="4">
      <c r="A4" t="inlineStr">
        <is>
          <t>CRYO.cold-box-asu-recovery-train.ahu</t>
        </is>
      </c>
      <c r="B4" t="inlineStr">
        <is>
          <t>CRYO.cold-box-asu-recovery-train</t>
        </is>
      </c>
      <c r="C4" t="n">
        <v>2</v>
      </c>
      <c r="D4" t="inlineStr">
        <is>
          <t>subsystem</t>
        </is>
      </c>
      <c r="F4" t="inlineStr">
        <is>
          <t>Cryo AHU and its condensable-slip node.</t>
        </is>
      </c>
      <c r="G4" t="n">
        <v>2</v>
      </c>
      <c r="H4" s="5" t="n">
        <v>0.6472</v>
      </c>
      <c r="I4" t="n">
        <v>1</v>
      </c>
      <c r="J4" t="inlineStr">
        <is>
          <t>present</t>
        </is>
      </c>
    </row>
    <row r="5">
      <c r="A5" t="inlineStr">
        <is>
          <t>CRYO.cold-box-asu-recovery-train.ahu.CRYO_AHU</t>
        </is>
      </c>
      <c r="B5" t="inlineStr">
        <is>
          <t>CRYO.cold-box-asu-recovery-train.ahu</t>
        </is>
      </c>
      <c r="C5" t="n">
        <v>3</v>
      </c>
      <c r="D5" t="inlineStr">
        <is>
          <t>unit</t>
        </is>
      </c>
      <c r="E5" t="inlineStr">
        <is>
          <t>CRYO_AHU</t>
        </is>
      </c>
      <c r="G5" t="n">
        <v>1</v>
      </c>
      <c r="H5" s="5" t="n">
        <v>0.6472</v>
      </c>
      <c r="I5" t="n">
        <v>1</v>
      </c>
      <c r="J5" t="inlineStr">
        <is>
          <t>present</t>
        </is>
      </c>
    </row>
    <row r="6">
      <c r="A6" t="inlineStr">
        <is>
          <t>CRYO.cold-box-asu-recovery-train.ahu.CRYO_AHU_COND_CONDENSABLE</t>
        </is>
      </c>
      <c r="B6" t="inlineStr">
        <is>
          <t>CRYO.cold-box-asu-recovery-train.ahu</t>
        </is>
      </c>
      <c r="C6" t="n">
        <v>3</v>
      </c>
      <c r="D6" t="inlineStr">
        <is>
          <t>unit</t>
        </is>
      </c>
      <c r="E6" t="inlineStr">
        <is>
          <t>CRYO_AHU_COND_CONDENSABLE</t>
        </is>
      </c>
      <c r="G6" t="n">
        <v>1</v>
      </c>
      <c r="H6" s="5" t="n">
        <v>0</v>
      </c>
      <c r="I6" t="n">
        <v>0</v>
      </c>
      <c r="J6" t="inlineStr">
        <is>
          <t>present</t>
        </is>
      </c>
    </row>
    <row r="7">
      <c r="A7" t="inlineStr">
        <is>
          <t>CRYO.cold-box-asu-recovery-train.cold-box</t>
        </is>
      </c>
      <c r="B7" t="inlineStr">
        <is>
          <t>CRYO.cold-box-asu-recovery-train</t>
        </is>
      </c>
      <c r="C7" t="n">
        <v>2</v>
      </c>
      <c r="D7" t="inlineStr">
        <is>
          <t>subsystem</t>
        </is>
      </c>
      <c r="F7" t="inlineStr">
        <is>
          <t>ASU with the N2 / O2 / CO2 / H2 cold boxes and their returns.</t>
        </is>
      </c>
      <c r="G7" t="n">
        <v>6</v>
      </c>
      <c r="H7" s="5" t="n">
        <v>2.6016</v>
      </c>
      <c r="I7" t="n">
        <v>2</v>
      </c>
      <c r="J7" t="inlineStr">
        <is>
          <t>present</t>
        </is>
      </c>
    </row>
    <row r="8">
      <c r="A8" t="inlineStr">
        <is>
          <t>CRYO.cold-box-asu-recovery-train.cold-box.AIR_RECEIVER</t>
        </is>
      </c>
      <c r="B8" t="inlineStr">
        <is>
          <t>CRYO.cold-box-asu-recovery-train.cold-box</t>
        </is>
      </c>
      <c r="C8" t="n">
        <v>3</v>
      </c>
      <c r="D8" t="inlineStr">
        <is>
          <t>unit</t>
        </is>
      </c>
      <c r="E8" t="inlineStr">
        <is>
          <t>AIR_RECEIVER</t>
        </is>
      </c>
      <c r="F8" t="inlineStr">
        <is>
          <t>Plant-air receiver (D-DOCK): banks the cold-box N2 delivery for the HDR_N2 air header; sized on the ASU / vent margin.</t>
        </is>
      </c>
      <c r="G8" t="n">
        <v>1</v>
      </c>
      <c r="H8" s="5" t="n">
        <v>0</v>
      </c>
      <c r="I8" t="n">
        <v>0</v>
      </c>
      <c r="J8" t="inlineStr">
        <is>
          <t>present</t>
        </is>
      </c>
    </row>
    <row r="9">
      <c r="A9" t="inlineStr">
        <is>
          <t>CRYO.cold-box-asu-recovery-train.cold-box.CRYO_ASU</t>
        </is>
      </c>
      <c r="B9" t="inlineStr">
        <is>
          <t>CRYO.cold-box-asu-recovery-train.cold-box</t>
        </is>
      </c>
      <c r="C9" t="n">
        <v>3</v>
      </c>
      <c r="D9" t="inlineStr">
        <is>
          <t>unit</t>
        </is>
      </c>
      <c r="E9" t="inlineStr">
        <is>
          <t>CRYO_ASU</t>
        </is>
      </c>
      <c r="G9" t="n">
        <v>1</v>
      </c>
      <c r="H9" s="5" t="n">
        <v>1.6689</v>
      </c>
      <c r="I9" t="n">
        <v>1</v>
      </c>
      <c r="J9" t="inlineStr">
        <is>
          <t>present</t>
        </is>
      </c>
    </row>
    <row r="10">
      <c r="A10" t="inlineStr">
        <is>
          <t>CRYO.cold-box-asu-recovery-train.cold-box.CRYO_CO2</t>
        </is>
      </c>
      <c r="B10" t="inlineStr">
        <is>
          <t>CRYO.cold-box-asu-recovery-train.cold-box</t>
        </is>
      </c>
      <c r="C10" t="n">
        <v>3</v>
      </c>
      <c r="D10" t="inlineStr">
        <is>
          <t>unit</t>
        </is>
      </c>
      <c r="E10" t="inlineStr">
        <is>
          <t>CRYO_CO2</t>
        </is>
      </c>
      <c r="G10" t="n">
        <v>1</v>
      </c>
      <c r="H10" s="5" t="n">
        <v>0</v>
      </c>
      <c r="I10" t="n">
        <v>0</v>
      </c>
      <c r="J10" t="inlineStr">
        <is>
          <t>present</t>
        </is>
      </c>
    </row>
    <row r="11">
      <c r="A11" t="inlineStr">
        <is>
          <t>CRYO.cold-box-asu-recovery-train.cold-box.CRYO_H2</t>
        </is>
      </c>
      <c r="B11" t="inlineStr">
        <is>
          <t>CRYO.cold-box-asu-recovery-train.cold-box</t>
        </is>
      </c>
      <c r="C11" t="n">
        <v>3</v>
      </c>
      <c r="D11" t="inlineStr">
        <is>
          <t>unit</t>
        </is>
      </c>
      <c r="E11" t="inlineStr">
        <is>
          <t>CRYO_H2</t>
        </is>
      </c>
      <c r="G11" t="n">
        <v>1</v>
      </c>
      <c r="H11" s="5" t="n">
        <v>0.9327</v>
      </c>
      <c r="I11" t="n">
        <v>1</v>
      </c>
      <c r="J11" t="inlineStr">
        <is>
          <t>present</t>
        </is>
      </c>
    </row>
    <row r="12">
      <c r="A12" t="inlineStr">
        <is>
          <t>CRYO.cold-box-asu-recovery-train.cold-box.CRYO_N2</t>
        </is>
      </c>
      <c r="B12" t="inlineStr">
        <is>
          <t>CRYO.cold-box-asu-recovery-train.cold-box</t>
        </is>
      </c>
      <c r="C12" t="n">
        <v>3</v>
      </c>
      <c r="D12" t="inlineStr">
        <is>
          <t>unit</t>
        </is>
      </c>
      <c r="E12" t="inlineStr">
        <is>
          <t>CRYO_N2</t>
        </is>
      </c>
      <c r="G12" t="n">
        <v>1</v>
      </c>
      <c r="H12" s="5" t="n">
        <v>0</v>
      </c>
      <c r="I12" t="n">
        <v>0</v>
      </c>
      <c r="J12" t="inlineStr">
        <is>
          <t>present</t>
        </is>
      </c>
    </row>
    <row r="13">
      <c r="A13" t="inlineStr">
        <is>
          <t>CRYO.cold-box-asu-recovery-train.cold-box.CRYO_O2</t>
        </is>
      </c>
      <c r="B13" t="inlineStr">
        <is>
          <t>CRYO.cold-box-asu-recovery-train.cold-box</t>
        </is>
      </c>
      <c r="C13" t="n">
        <v>3</v>
      </c>
      <c r="D13" t="inlineStr">
        <is>
          <t>unit</t>
        </is>
      </c>
      <c r="E13" t="inlineStr">
        <is>
          <t>CRYO_O2</t>
        </is>
      </c>
      <c r="G13" t="n">
        <v>1</v>
      </c>
      <c r="H13" s="5" t="n">
        <v>0</v>
      </c>
      <c r="I13" t="n">
        <v>0</v>
      </c>
      <c r="J13" t="inlineStr">
        <is>
          <t>present</t>
        </is>
      </c>
    </row>
    <row r="14">
      <c r="A14" t="inlineStr">
        <is>
          <t>CRYO.cold-box-asu-recovery-train.feed-and-recovery</t>
        </is>
      </c>
      <c r="B14" t="inlineStr">
        <is>
          <t>CRYO.cold-box-asu-recovery-train</t>
        </is>
      </c>
      <c r="C14" t="n">
        <v>2</v>
      </c>
      <c r="D14" t="inlineStr">
        <is>
          <t>subsystem</t>
        </is>
      </c>
      <c r="F14" t="inlineStr">
        <is>
          <t>PEM electrolysis H2/O2 feed, dedicated cryo cooling, Q4 residual HX, O2/MeOH product shipping, cryo relief.</t>
        </is>
      </c>
      <c r="G14" t="n">
        <v>6</v>
      </c>
      <c r="H14" s="5" t="n">
        <v>21.4517</v>
      </c>
      <c r="I14" t="n">
        <v>1</v>
      </c>
      <c r="J14" t="inlineStr">
        <is>
          <t>present</t>
        </is>
      </c>
    </row>
    <row r="15">
      <c r="A15" t="inlineStr">
        <is>
          <t>CRYO.cold-box-asu-recovery-train.feed-and-recovery.CRYO_DED_COOL</t>
        </is>
      </c>
      <c r="B15" t="inlineStr">
        <is>
          <t>CRYO.cold-box-asu-recovery-train.feed-and-recovery</t>
        </is>
      </c>
      <c r="C15" t="n">
        <v>3</v>
      </c>
      <c r="D15" t="inlineStr">
        <is>
          <t>unit</t>
        </is>
      </c>
      <c r="E15" t="inlineStr">
        <is>
          <t>CRYO_DED_COOL</t>
        </is>
      </c>
      <c r="G15" t="n">
        <v>1</v>
      </c>
      <c r="H15" s="5" t="n">
        <v>0</v>
      </c>
      <c r="I15" t="n">
        <v>0</v>
      </c>
      <c r="J15" t="inlineStr">
        <is>
          <t>present</t>
        </is>
      </c>
    </row>
    <row r="16">
      <c r="A16" t="inlineStr">
        <is>
          <t>CRYO.cold-box-asu-recovery-train.feed-and-recovery.CRYO_HX_Q4</t>
        </is>
      </c>
      <c r="B16" t="inlineStr">
        <is>
          <t>CRYO.cold-box-asu-recovery-train.feed-and-recovery</t>
        </is>
      </c>
      <c r="C16" t="n">
        <v>3</v>
      </c>
      <c r="D16" t="inlineStr">
        <is>
          <t>unit</t>
        </is>
      </c>
      <c r="E16" t="inlineStr">
        <is>
          <t>CRYO_HX_Q4</t>
        </is>
      </c>
      <c r="G16" t="n">
        <v>1</v>
      </c>
      <c r="H16" s="5" t="n">
        <v>0</v>
      </c>
      <c r="I16" t="n">
        <v>0</v>
      </c>
      <c r="J16" t="inlineStr">
        <is>
          <t>present</t>
        </is>
      </c>
    </row>
    <row r="17">
      <c r="A17" t="inlineStr">
        <is>
          <t>CRYO.cold-box-asu-recovery-train.feed-and-recovery.H2O_ELYZ</t>
        </is>
      </c>
      <c r="B17" t="inlineStr">
        <is>
          <t>CRYO.cold-box-asu-recovery-train.feed-and-recovery</t>
        </is>
      </c>
      <c r="C17" t="n">
        <v>3</v>
      </c>
      <c r="D17" t="inlineStr">
        <is>
          <t>unit</t>
        </is>
      </c>
      <c r="E17" t="inlineStr">
        <is>
          <t>H2O_ELYZ</t>
        </is>
      </c>
      <c r="G17" t="n">
        <v>1</v>
      </c>
      <c r="H17" s="5" t="n">
        <v>21.4517</v>
      </c>
      <c r="I17" t="n">
        <v>1</v>
      </c>
      <c r="J17" t="inlineStr">
        <is>
          <t>present</t>
        </is>
      </c>
    </row>
    <row r="18">
      <c r="A18" t="inlineStr">
        <is>
          <t>CRYO.cold-box-asu-recovery-train.feed-and-recovery.PROD_MEOH</t>
        </is>
      </c>
      <c r="B18" t="inlineStr">
        <is>
          <t>CRYO.cold-box-asu-recovery-train.feed-and-recovery</t>
        </is>
      </c>
      <c r="C18" t="n">
        <v>3</v>
      </c>
      <c r="D18" t="inlineStr">
        <is>
          <t>unit</t>
        </is>
      </c>
      <c r="E18" t="inlineStr">
        <is>
          <t>PROD_MEOH</t>
        </is>
      </c>
      <c r="G18" t="n">
        <v>1</v>
      </c>
      <c r="H18" s="5" t="n">
        <v>0</v>
      </c>
      <c r="I18" t="n">
        <v>0</v>
      </c>
      <c r="J18" t="inlineStr">
        <is>
          <t>present</t>
        </is>
      </c>
    </row>
    <row r="19">
      <c r="A19" t="inlineStr">
        <is>
          <t>CRYO.cold-box-asu-recovery-train.feed-and-recovery.PROD_O2</t>
        </is>
      </c>
      <c r="B19" t="inlineStr">
        <is>
          <t>CRYO.cold-box-asu-recovery-train.feed-and-recovery</t>
        </is>
      </c>
      <c r="C19" t="n">
        <v>3</v>
      </c>
      <c r="D19" t="inlineStr">
        <is>
          <t>unit</t>
        </is>
      </c>
      <c r="E19" t="inlineStr">
        <is>
          <t>PROD_O2</t>
        </is>
      </c>
      <c r="G19" t="n">
        <v>1</v>
      </c>
      <c r="H19" s="5" t="n">
        <v>0</v>
      </c>
      <c r="I19" t="n">
        <v>0</v>
      </c>
      <c r="J19" t="inlineStr">
        <is>
          <t>present</t>
        </is>
      </c>
    </row>
    <row r="20">
      <c r="A20" t="inlineStr">
        <is>
          <t>CRYO.cold-box-asu-recovery-train.feed-and-recovery.RELIEF_CRYO</t>
        </is>
      </c>
      <c r="B20" t="inlineStr">
        <is>
          <t>CRYO.cold-box-asu-recovery-train.feed-and-recovery</t>
        </is>
      </c>
      <c r="C20" t="n">
        <v>3</v>
      </c>
      <c r="D20" t="inlineStr">
        <is>
          <t>unit</t>
        </is>
      </c>
      <c r="E20" t="inlineStr">
        <is>
          <t>RELIEF_CRYO</t>
        </is>
      </c>
      <c r="G20" t="n">
        <v>1</v>
      </c>
      <c r="H20" s="5" t="n">
        <v>0</v>
      </c>
      <c r="I20" t="n">
        <v>0</v>
      </c>
      <c r="J20" t="inlineStr">
        <is>
          <t>present</t>
        </is>
      </c>
    </row>
    <row r="21">
      <c r="A21" t="inlineStr">
        <is>
          <t>DIGESTER</t>
        </is>
      </c>
      <c r="C21" t="n">
        <v>0</v>
      </c>
      <c r="D21" t="inlineStr">
        <is>
          <t>root</t>
        </is>
      </c>
      <c r="F21" t="inlineStr">
        <is>
          <t>Process (Mass transform) — leach / EW / BMED / polish; 150 kg/d wet feed basis.</t>
        </is>
      </c>
      <c r="G21" t="n">
        <v>25</v>
      </c>
      <c r="H21" s="5" t="n">
        <v>14.4748</v>
      </c>
      <c r="I21" t="n">
        <v>6</v>
      </c>
      <c r="J21" t="inlineStr">
        <is>
          <t>retired</t>
        </is>
      </c>
    </row>
    <row r="22">
      <c r="A22" t="inlineStr">
        <is>
          <t>DIGESTER.ew-cascade-train</t>
        </is>
      </c>
      <c r="B22" t="inlineStr">
        <is>
          <t>DIGESTER</t>
        </is>
      </c>
      <c r="C22" t="n">
        <v>1</v>
      </c>
      <c r="D22" t="inlineStr">
        <is>
          <t>train</t>
        </is>
      </c>
      <c r="F22" t="inlineStr">
        <is>
          <t>EW-1 to EW-9 gravity cascade on the leach liquor; HX8 rejects EW heat into the Q4 return.</t>
        </is>
      </c>
      <c r="G22" t="n">
        <v>10</v>
      </c>
      <c r="H22" s="5" t="n">
        <v>5.2483</v>
      </c>
      <c r="I22" t="n">
        <v>1</v>
      </c>
      <c r="J22" t="inlineStr">
        <is>
          <t>present</t>
        </is>
      </c>
    </row>
    <row r="23">
      <c r="A23" t="inlineStr">
        <is>
          <t>DIGESTER.ew-cascade-train.cascade</t>
        </is>
      </c>
      <c r="B23" t="inlineStr">
        <is>
          <t>DIGESTER.ew-cascade-train</t>
        </is>
      </c>
      <c r="C23" t="n">
        <v>2</v>
      </c>
      <c r="D23" t="inlineStr">
        <is>
          <t>subsystem</t>
        </is>
      </c>
      <c r="F23" t="inlineStr">
        <is>
          <t>EW_1 through EW_9 overflow cascade; DC from RECTIFIER, plated sheet to MFG, Cl2 to leach.</t>
        </is>
      </c>
      <c r="G23" t="n">
        <v>9</v>
      </c>
      <c r="H23" s="5" t="n">
        <v>5.2483</v>
      </c>
      <c r="I23" t="n">
        <v>1</v>
      </c>
      <c r="J23" t="inlineStr">
        <is>
          <t>present</t>
        </is>
      </c>
    </row>
    <row r="24">
      <c r="A24" t="inlineStr">
        <is>
          <t>DIGESTER.ew-cascade-train.cascade.EW_1</t>
        </is>
      </c>
      <c r="B24" t="inlineStr">
        <is>
          <t>DIGESTER.ew-cascade-train.cascade</t>
        </is>
      </c>
      <c r="C24" t="n">
        <v>3</v>
      </c>
      <c r="D24" t="inlineStr">
        <is>
          <t>unit</t>
        </is>
      </c>
      <c r="E24" t="inlineStr">
        <is>
          <t>EW_1</t>
        </is>
      </c>
      <c r="G24" t="n">
        <v>1</v>
      </c>
      <c r="H24" s="5" t="n">
        <v>5.2483</v>
      </c>
      <c r="I24" t="n">
        <v>1</v>
      </c>
      <c r="J24" t="inlineStr">
        <is>
          <t>present</t>
        </is>
      </c>
    </row>
    <row r="25">
      <c r="A25" t="inlineStr">
        <is>
          <t>DIGESTER.ew-cascade-train.cascade.EW_2</t>
        </is>
      </c>
      <c r="B25" t="inlineStr">
        <is>
          <t>DIGESTER.ew-cascade-train.cascade</t>
        </is>
      </c>
      <c r="C25" t="n">
        <v>3</v>
      </c>
      <c r="D25" t="inlineStr">
        <is>
          <t>unit</t>
        </is>
      </c>
      <c r="E25" t="inlineStr">
        <is>
          <t>EW_2</t>
        </is>
      </c>
      <c r="G25" t="n">
        <v>1</v>
      </c>
      <c r="H25" s="5" t="n">
        <v>0</v>
      </c>
      <c r="I25" t="n">
        <v>0</v>
      </c>
      <c r="J25" t="inlineStr">
        <is>
          <t>present</t>
        </is>
      </c>
    </row>
    <row r="26">
      <c r="A26" t="inlineStr">
        <is>
          <t>DIGESTER.ew-cascade-train.cascade.EW_3</t>
        </is>
      </c>
      <c r="B26" t="inlineStr">
        <is>
          <t>DIGESTER.ew-cascade-train.cascade</t>
        </is>
      </c>
      <c r="C26" t="n">
        <v>3</v>
      </c>
      <c r="D26" t="inlineStr">
        <is>
          <t>unit</t>
        </is>
      </c>
      <c r="E26" t="inlineStr">
        <is>
          <t>EW_3</t>
        </is>
      </c>
      <c r="G26" t="n">
        <v>1</v>
      </c>
      <c r="H26" s="5" t="n">
        <v>0</v>
      </c>
      <c r="I26" t="n">
        <v>0</v>
      </c>
      <c r="J26" t="inlineStr">
        <is>
          <t>present</t>
        </is>
      </c>
    </row>
    <row r="27">
      <c r="A27" t="inlineStr">
        <is>
          <t>DIGESTER.ew-cascade-train.cascade.EW_4</t>
        </is>
      </c>
      <c r="B27" t="inlineStr">
        <is>
          <t>DIGESTER.ew-cascade-train.cascade</t>
        </is>
      </c>
      <c r="C27" t="n">
        <v>3</v>
      </c>
      <c r="D27" t="inlineStr">
        <is>
          <t>unit</t>
        </is>
      </c>
      <c r="E27" t="inlineStr">
        <is>
          <t>EW_4</t>
        </is>
      </c>
      <c r="G27" t="n">
        <v>1</v>
      </c>
      <c r="H27" s="5" t="n">
        <v>0</v>
      </c>
      <c r="I27" t="n">
        <v>0</v>
      </c>
      <c r="J27" t="inlineStr">
        <is>
          <t>present</t>
        </is>
      </c>
    </row>
    <row r="28">
      <c r="A28" t="inlineStr">
        <is>
          <t>DIGESTER.ew-cascade-train.cascade.EW_5</t>
        </is>
      </c>
      <c r="B28" t="inlineStr">
        <is>
          <t>DIGESTER.ew-cascade-train.cascade</t>
        </is>
      </c>
      <c r="C28" t="n">
        <v>3</v>
      </c>
      <c r="D28" t="inlineStr">
        <is>
          <t>unit</t>
        </is>
      </c>
      <c r="E28" t="inlineStr">
        <is>
          <t>EW_5</t>
        </is>
      </c>
      <c r="G28" t="n">
        <v>1</v>
      </c>
      <c r="H28" s="5" t="n">
        <v>0</v>
      </c>
      <c r="I28" t="n">
        <v>0</v>
      </c>
      <c r="J28" t="inlineStr">
        <is>
          <t>present</t>
        </is>
      </c>
    </row>
    <row r="29">
      <c r="A29" t="inlineStr">
        <is>
          <t>DIGESTER.ew-cascade-train.cascade.EW_6</t>
        </is>
      </c>
      <c r="B29" t="inlineStr">
        <is>
          <t>DIGESTER.ew-cascade-train.cascade</t>
        </is>
      </c>
      <c r="C29" t="n">
        <v>3</v>
      </c>
      <c r="D29" t="inlineStr">
        <is>
          <t>unit</t>
        </is>
      </c>
      <c r="E29" t="inlineStr">
        <is>
          <t>EW_6</t>
        </is>
      </c>
      <c r="G29" t="n">
        <v>1</v>
      </c>
      <c r="H29" s="5" t="n">
        <v>0</v>
      </c>
      <c r="I29" t="n">
        <v>0</v>
      </c>
      <c r="J29" t="inlineStr">
        <is>
          <t>present</t>
        </is>
      </c>
    </row>
    <row r="30">
      <c r="A30" t="inlineStr">
        <is>
          <t>DIGESTER.ew-cascade-train.cascade.EW_7</t>
        </is>
      </c>
      <c r="B30" t="inlineStr">
        <is>
          <t>DIGESTER.ew-cascade-train.cascade</t>
        </is>
      </c>
      <c r="C30" t="n">
        <v>3</v>
      </c>
      <c r="D30" t="inlineStr">
        <is>
          <t>unit</t>
        </is>
      </c>
      <c r="E30" t="inlineStr">
        <is>
          <t>EW_7</t>
        </is>
      </c>
      <c r="G30" t="n">
        <v>1</v>
      </c>
      <c r="H30" s="5" t="n">
        <v>0</v>
      </c>
      <c r="I30" t="n">
        <v>0</v>
      </c>
      <c r="J30" t="inlineStr">
        <is>
          <t>present</t>
        </is>
      </c>
    </row>
    <row r="31">
      <c r="A31" t="inlineStr">
        <is>
          <t>DIGESTER.ew-cascade-train.cascade.EW_8</t>
        </is>
      </c>
      <c r="B31" t="inlineStr">
        <is>
          <t>DIGESTER.ew-cascade-train.cascade</t>
        </is>
      </c>
      <c r="C31" t="n">
        <v>3</v>
      </c>
      <c r="D31" t="inlineStr">
        <is>
          <t>unit</t>
        </is>
      </c>
      <c r="E31" t="inlineStr">
        <is>
          <t>EW_8</t>
        </is>
      </c>
      <c r="G31" t="n">
        <v>1</v>
      </c>
      <c r="H31" s="5" t="n">
        <v>0</v>
      </c>
      <c r="I31" t="n">
        <v>0</v>
      </c>
      <c r="J31" t="inlineStr">
        <is>
          <t>present</t>
        </is>
      </c>
    </row>
    <row r="32">
      <c r="A32" t="inlineStr">
        <is>
          <t>DIGESTER.ew-cascade-train.cascade.EW_9</t>
        </is>
      </c>
      <c r="B32" t="inlineStr">
        <is>
          <t>DIGESTER.ew-cascade-train.cascade</t>
        </is>
      </c>
      <c r="C32" t="n">
        <v>3</v>
      </c>
      <c r="D32" t="inlineStr">
        <is>
          <t>unit</t>
        </is>
      </c>
      <c r="E32" t="inlineStr">
        <is>
          <t>EW_9</t>
        </is>
      </c>
      <c r="G32" t="n">
        <v>1</v>
      </c>
      <c r="H32" s="5" t="n">
        <v>0</v>
      </c>
      <c r="I32" t="n">
        <v>0</v>
      </c>
      <c r="J32" t="inlineStr">
        <is>
          <t>present</t>
        </is>
      </c>
    </row>
    <row r="33">
      <c r="A33" t="inlineStr">
        <is>
          <t>DIGESTER.ew-cascade-train.heat-recovery</t>
        </is>
      </c>
      <c r="B33" t="inlineStr">
        <is>
          <t>DIGESTER.ew-cascade-train</t>
        </is>
      </c>
      <c r="C33" t="n">
        <v>2</v>
      </c>
      <c r="D33" t="inlineStr">
        <is>
          <t>subsystem</t>
        </is>
      </c>
      <c r="F33" t="inlineStr">
        <is>
          <t>HX8 EW reject preheat into the Q4 A/B return.</t>
        </is>
      </c>
      <c r="G33" t="n">
        <v>1</v>
      </c>
      <c r="H33" s="5" t="n">
        <v>0</v>
      </c>
      <c r="I33" t="n">
        <v>0</v>
      </c>
      <c r="J33" t="inlineStr">
        <is>
          <t>present</t>
        </is>
      </c>
    </row>
    <row r="34">
      <c r="A34" t="inlineStr">
        <is>
          <t>DIGESTER.ew-cascade-train.heat-recovery.HX8</t>
        </is>
      </c>
      <c r="B34" t="inlineStr">
        <is>
          <t>DIGESTER.ew-cascade-train.heat-recovery</t>
        </is>
      </c>
      <c r="C34" t="n">
        <v>3</v>
      </c>
      <c r="D34" t="inlineStr">
        <is>
          <t>unit</t>
        </is>
      </c>
      <c r="E34" t="inlineStr">
        <is>
          <t>HX8</t>
        </is>
      </c>
      <c r="G34" t="n">
        <v>1</v>
      </c>
      <c r="H34" s="5" t="n">
        <v>0</v>
      </c>
      <c r="I34" t="n">
        <v>0</v>
      </c>
      <c r="J34" t="inlineStr">
        <is>
          <t>present</t>
        </is>
      </c>
    </row>
    <row r="35">
      <c r="A35" t="inlineStr">
        <is>
          <t>DIGESTER.metals-leach-train</t>
        </is>
      </c>
      <c r="B35" t="inlineStr">
        <is>
          <t>DIGESTER</t>
        </is>
      </c>
      <c r="C35" t="n">
        <v>1</v>
      </c>
      <c r="D35" t="inlineStr">
        <is>
          <t>train</t>
        </is>
      </c>
      <c r="F35" t="inlineStr">
        <is>
          <t>Brine metals loop: salt feed, leach CSTR, float/sink, polish and recovery; BMED acid/base regeneration with evaporators. F_RECOVER fluoride concentrate feeds POLYMERS.HF_GEN.</t>
        </is>
      </c>
      <c r="G35" t="n">
        <v>15</v>
      </c>
      <c r="H35" s="5" t="n">
        <v>9.2265</v>
      </c>
      <c r="I35" t="n">
        <v>5</v>
      </c>
      <c r="J35" t="inlineStr">
        <is>
          <t>retired</t>
        </is>
      </c>
    </row>
    <row r="36">
      <c r="A36" t="inlineStr">
        <is>
          <t>DIGESTER.metals-leach-train.acid-base-regen</t>
        </is>
      </c>
      <c r="B36" t="inlineStr">
        <is>
          <t>DIGESTER.metals-leach-train</t>
        </is>
      </c>
      <c r="C36" t="n">
        <v>2</v>
      </c>
      <c r="D36" t="inlineStr">
        <is>
          <t>subsystem</t>
        </is>
      </c>
      <c r="F36" t="inlineStr">
        <is>
          <t>BMED acid/base pairs with the 20 wt% regen evaporators; EVAP_ACID_VS vent scrubber returns spent liquor to the BMED brine (graph sector WET = pre-rename DIGESTER).</t>
        </is>
      </c>
      <c r="G36" t="n">
        <v>5</v>
      </c>
      <c r="H36" s="5" t="n">
        <v>8.4765</v>
      </c>
      <c r="I36" t="n">
        <v>4</v>
      </c>
      <c r="J36" t="inlineStr">
        <is>
          <t>present</t>
        </is>
      </c>
    </row>
    <row r="37">
      <c r="A37" t="inlineStr">
        <is>
          <t>DIGESTER.metals-leach-train.acid-base-regen.BMED_ACID</t>
        </is>
      </c>
      <c r="B37" t="inlineStr">
        <is>
          <t>DIGESTER.metals-leach-train.acid-base-regen</t>
        </is>
      </c>
      <c r="C37" t="n">
        <v>3</v>
      </c>
      <c r="D37" t="inlineStr">
        <is>
          <t>unit</t>
        </is>
      </c>
      <c r="E37" t="inlineStr">
        <is>
          <t>BMED_ACID</t>
        </is>
      </c>
      <c r="G37" t="n">
        <v>1</v>
      </c>
      <c r="H37" s="5" t="n">
        <v>5.6267</v>
      </c>
      <c r="I37" t="n">
        <v>1</v>
      </c>
      <c r="J37" t="inlineStr">
        <is>
          <t>present</t>
        </is>
      </c>
    </row>
    <row r="38">
      <c r="A38" t="inlineStr">
        <is>
          <t>DIGESTER.metals-leach-train.acid-base-regen.BMED_BASE</t>
        </is>
      </c>
      <c r="B38" t="inlineStr">
        <is>
          <t>DIGESTER.metals-leach-train.acid-base-regen</t>
        </is>
      </c>
      <c r="C38" t="n">
        <v>3</v>
      </c>
      <c r="D38" t="inlineStr">
        <is>
          <t>unit</t>
        </is>
      </c>
      <c r="E38" t="inlineStr">
        <is>
          <t>BMED_BASE</t>
        </is>
      </c>
      <c r="G38" t="n">
        <v>1</v>
      </c>
      <c r="H38" s="5" t="n">
        <v>0</v>
      </c>
      <c r="I38" t="n">
        <v>0</v>
      </c>
      <c r="J38" t="inlineStr">
        <is>
          <t>present</t>
        </is>
      </c>
    </row>
    <row r="39">
      <c r="A39" t="inlineStr">
        <is>
          <t>DIGESTER.metals-leach-train.acid-base-regen.EVAP_ACID</t>
        </is>
      </c>
      <c r="B39" t="inlineStr">
        <is>
          <t>DIGESTER.metals-leach-train.acid-base-regen</t>
        </is>
      </c>
      <c r="C39" t="n">
        <v>3</v>
      </c>
      <c r="D39" t="inlineStr">
        <is>
          <t>unit</t>
        </is>
      </c>
      <c r="E39" t="inlineStr">
        <is>
          <t>EVAP_ACID</t>
        </is>
      </c>
      <c r="G39" t="n">
        <v>1</v>
      </c>
      <c r="H39" s="5" t="n">
        <v>1.498</v>
      </c>
      <c r="I39" t="n">
        <v>1</v>
      </c>
      <c r="J39" t="inlineStr">
        <is>
          <t>present</t>
        </is>
      </c>
    </row>
    <row r="40">
      <c r="A40" t="inlineStr">
        <is>
          <t>DIGESTER.metals-leach-train.acid-base-regen.EVAP_ACID_VS</t>
        </is>
      </c>
      <c r="B40" t="inlineStr">
        <is>
          <t>DIGESTER.metals-leach-train.acid-base-regen</t>
        </is>
      </c>
      <c r="C40" t="n">
        <v>3</v>
      </c>
      <c r="D40" t="inlineStr">
        <is>
          <t>unit</t>
        </is>
      </c>
      <c r="E40" t="inlineStr">
        <is>
          <t>EVAP_ACID_VS</t>
        </is>
      </c>
      <c r="G40" t="n">
        <v>1</v>
      </c>
      <c r="H40" s="5" t="n">
        <v>0.0238</v>
      </c>
      <c r="I40" t="n">
        <v>1</v>
      </c>
      <c r="J40" t="inlineStr">
        <is>
          <t>present</t>
        </is>
      </c>
    </row>
    <row r="41">
      <c r="A41" t="inlineStr">
        <is>
          <t>DIGESTER.metals-leach-train.acid-base-regen.EVAP_BASE</t>
        </is>
      </c>
      <c r="B41" t="inlineStr">
        <is>
          <t>DIGESTER.metals-leach-train.acid-base-regen</t>
        </is>
      </c>
      <c r="C41" t="n">
        <v>3</v>
      </c>
      <c r="D41" t="inlineStr">
        <is>
          <t>unit</t>
        </is>
      </c>
      <c r="E41" t="inlineStr">
        <is>
          <t>EVAP_BASE</t>
        </is>
      </c>
      <c r="G41" t="n">
        <v>1</v>
      </c>
      <c r="H41" s="5" t="n">
        <v>1.328</v>
      </c>
      <c r="I41" t="n">
        <v>1</v>
      </c>
      <c r="J41" t="inlineStr">
        <is>
          <t>present</t>
        </is>
      </c>
    </row>
    <row r="42">
      <c r="A42" t="inlineStr">
        <is>
          <t>DIGESTER.metals-leach-train.brine-loop</t>
        </is>
      </c>
      <c r="B42" t="inlineStr">
        <is>
          <t>DIGESTER.metals-leach-train</t>
        </is>
      </c>
      <c r="C42" t="n">
        <v>2</v>
      </c>
      <c r="D42" t="inlineStr">
        <is>
          <t>subsystem</t>
        </is>
      </c>
      <c r="F42" t="inlineStr">
        <is>
          <t>Leach CSTR with float/sink, continuous recycle, polish bank, Li recovery and Ca precip; CRU chlorate regen; fluoride recovery; S13_CLASS_TREAT retired traceability row.</t>
        </is>
      </c>
      <c r="G42" t="n">
        <v>10</v>
      </c>
      <c r="H42" s="5" t="n">
        <v>0.75</v>
      </c>
      <c r="I42" t="n">
        <v>1</v>
      </c>
      <c r="J42" t="inlineStr">
        <is>
          <t>retired</t>
        </is>
      </c>
    </row>
    <row r="43">
      <c r="A43" t="inlineStr">
        <is>
          <t>DIGESTER.metals-leach-train.brine-loop.CONTINUOUS_RECYCLE</t>
        </is>
      </c>
      <c r="B43" t="inlineStr">
        <is>
          <t>DIGESTER.metals-leach-train.brine-loop</t>
        </is>
      </c>
      <c r="C43" t="n">
        <v>3</v>
      </c>
      <c r="D43" t="inlineStr">
        <is>
          <t>unit</t>
        </is>
      </c>
      <c r="E43" t="inlineStr">
        <is>
          <t>CONTINUOUS_RECYCLE</t>
        </is>
      </c>
      <c r="G43" t="n">
        <v>1</v>
      </c>
      <c r="H43" s="5" t="n">
        <v>0</v>
      </c>
      <c r="I43" t="n">
        <v>0</v>
      </c>
      <c r="J43" t="inlineStr">
        <is>
          <t>present</t>
        </is>
      </c>
    </row>
    <row r="44">
      <c r="A44" t="inlineStr">
        <is>
          <t>DIGESTER.metals-leach-train.brine-loop.CRU</t>
        </is>
      </c>
      <c r="B44" t="inlineStr">
        <is>
          <t>DIGESTER.metals-leach-train.brine-loop</t>
        </is>
      </c>
      <c r="C44" t="n">
        <v>3</v>
      </c>
      <c r="D44" t="inlineStr">
        <is>
          <t>unit</t>
        </is>
      </c>
      <c r="E44" t="inlineStr">
        <is>
          <t>CRU</t>
        </is>
      </c>
      <c r="G44" t="n">
        <v>1</v>
      </c>
      <c r="H44" s="5" t="n">
        <v>0</v>
      </c>
      <c r="I44" t="n">
        <v>0</v>
      </c>
      <c r="J44" t="inlineStr">
        <is>
          <t>present</t>
        </is>
      </c>
    </row>
    <row r="45">
      <c r="A45" t="inlineStr">
        <is>
          <t>DIGESTER.metals-leach-train.brine-loop.FLOAT_SINK</t>
        </is>
      </c>
      <c r="B45" t="inlineStr">
        <is>
          <t>DIGESTER.metals-leach-train.brine-loop</t>
        </is>
      </c>
      <c r="C45" t="n">
        <v>3</v>
      </c>
      <c r="D45" t="inlineStr">
        <is>
          <t>unit</t>
        </is>
      </c>
      <c r="E45" t="inlineStr">
        <is>
          <t>FLOAT_SINK</t>
        </is>
      </c>
      <c r="G45" t="n">
        <v>1</v>
      </c>
      <c r="H45" s="5" t="n">
        <v>0</v>
      </c>
      <c r="I45" t="n">
        <v>0</v>
      </c>
      <c r="J45" t="inlineStr">
        <is>
          <t>present</t>
        </is>
      </c>
    </row>
    <row r="46">
      <c r="A46" t="inlineStr">
        <is>
          <t>DIGESTER.metals-leach-train.brine-loop.F_RECOVER</t>
        </is>
      </c>
      <c r="B46" t="inlineStr">
        <is>
          <t>DIGESTER.metals-leach-train.brine-loop</t>
        </is>
      </c>
      <c r="C46" t="n">
        <v>3</v>
      </c>
      <c r="D46" t="inlineStr">
        <is>
          <t>unit</t>
        </is>
      </c>
      <c r="E46" t="inlineStr">
        <is>
          <t>F_RECOVER</t>
        </is>
      </c>
      <c r="G46" t="n">
        <v>1</v>
      </c>
      <c r="H46" s="5" t="n">
        <v>0</v>
      </c>
      <c r="I46" t="n">
        <v>0</v>
      </c>
      <c r="J46" t="inlineStr">
        <is>
          <t>present</t>
        </is>
      </c>
    </row>
    <row r="47">
      <c r="A47" t="inlineStr">
        <is>
          <t>DIGESTER.metals-leach-train.brine-loop.LEACH_CSTR_1</t>
        </is>
      </c>
      <c r="B47" t="inlineStr">
        <is>
          <t>DIGESTER.metals-leach-train.brine-loop</t>
        </is>
      </c>
      <c r="C47" t="n">
        <v>3</v>
      </c>
      <c r="D47" t="inlineStr">
        <is>
          <t>unit</t>
        </is>
      </c>
      <c r="E47" t="inlineStr">
        <is>
          <t>LEACH_CSTR_1</t>
        </is>
      </c>
      <c r="G47" t="n">
        <v>1</v>
      </c>
      <c r="H47" s="5" t="n">
        <v>0.75</v>
      </c>
      <c r="I47" t="n">
        <v>1</v>
      </c>
      <c r="J47" t="inlineStr">
        <is>
          <t>present</t>
        </is>
      </c>
    </row>
    <row r="48">
      <c r="A48" t="inlineStr">
        <is>
          <t>DIGESTER.metals-leach-train.brine-loop.LI_RECOVER</t>
        </is>
      </c>
      <c r="B48" t="inlineStr">
        <is>
          <t>DIGESTER.metals-leach-train.brine-loop</t>
        </is>
      </c>
      <c r="C48" t="n">
        <v>3</v>
      </c>
      <c r="D48" t="inlineStr">
        <is>
          <t>unit</t>
        </is>
      </c>
      <c r="E48" t="inlineStr">
        <is>
          <t>LI_RECOVER</t>
        </is>
      </c>
      <c r="G48" t="n">
        <v>1</v>
      </c>
      <c r="H48" s="5" t="n">
        <v>0</v>
      </c>
      <c r="I48" t="n">
        <v>0</v>
      </c>
      <c r="J48" t="inlineStr">
        <is>
          <t>present</t>
        </is>
      </c>
    </row>
    <row r="49">
      <c r="A49" t="inlineStr">
        <is>
          <t>DIGESTER.metals-leach-train.brine-loop.POLISH_BANK</t>
        </is>
      </c>
      <c r="B49" t="inlineStr">
        <is>
          <t>DIGESTER.metals-leach-train.brine-loop</t>
        </is>
      </c>
      <c r="C49" t="n">
        <v>3</v>
      </c>
      <c r="D49" t="inlineStr">
        <is>
          <t>unit</t>
        </is>
      </c>
      <c r="E49" t="inlineStr">
        <is>
          <t>POLISH_BANK</t>
        </is>
      </c>
      <c r="G49" t="n">
        <v>1</v>
      </c>
      <c r="H49" s="5" t="n">
        <v>0</v>
      </c>
      <c r="I49" t="n">
        <v>0</v>
      </c>
      <c r="J49" t="inlineStr">
        <is>
          <t>present</t>
        </is>
      </c>
    </row>
    <row r="50">
      <c r="A50" t="inlineStr">
        <is>
          <t>DIGESTER.metals-leach-train.brine-loop.P_CA</t>
        </is>
      </c>
      <c r="B50" t="inlineStr">
        <is>
          <t>DIGESTER.metals-leach-train.brine-loop</t>
        </is>
      </c>
      <c r="C50" t="n">
        <v>3</v>
      </c>
      <c r="D50" t="inlineStr">
        <is>
          <t>unit</t>
        </is>
      </c>
      <c r="E50" t="inlineStr">
        <is>
          <t>P_CA</t>
        </is>
      </c>
      <c r="G50" t="n">
        <v>1</v>
      </c>
      <c r="H50" s="5" t="n">
        <v>0</v>
      </c>
      <c r="I50" t="n">
        <v>0</v>
      </c>
      <c r="J50" t="inlineStr">
        <is>
          <t>present</t>
        </is>
      </c>
    </row>
    <row r="51">
      <c r="A51" t="inlineStr">
        <is>
          <t>DIGESTER.metals-leach-train.brine-loop.S13_CLASS_TREAT</t>
        </is>
      </c>
      <c r="B51" t="inlineStr">
        <is>
          <t>DIGESTER.metals-leach-train.brine-loop</t>
        </is>
      </c>
      <c r="C51" t="n">
        <v>3</v>
      </c>
      <c r="D51" t="inlineStr">
        <is>
          <t>unit</t>
        </is>
      </c>
      <c r="E51" t="inlineStr">
        <is>
          <t>S13_CLASS_TREAT</t>
        </is>
      </c>
      <c r="G51" t="n">
        <v>1</v>
      </c>
      <c r="H51" s="5" t="n">
        <v>0</v>
      </c>
      <c r="I51" t="n">
        <v>0</v>
      </c>
      <c r="J51" t="inlineStr">
        <is>
          <t>retired</t>
        </is>
      </c>
    </row>
    <row r="52">
      <c r="A52" t="inlineStr">
        <is>
          <t>DIGESTER.metals-leach-train.brine-loop.SALT_FEED</t>
        </is>
      </c>
      <c r="B52" t="inlineStr">
        <is>
          <t>DIGESTER.metals-leach-train.brine-loop</t>
        </is>
      </c>
      <c r="C52" t="n">
        <v>3</v>
      </c>
      <c r="D52" t="inlineStr">
        <is>
          <t>unit</t>
        </is>
      </c>
      <c r="E52" t="inlineStr">
        <is>
          <t>SALT_FEED</t>
        </is>
      </c>
      <c r="G52" t="n">
        <v>1</v>
      </c>
      <c r="H52" s="5" t="n">
        <v>0</v>
      </c>
      <c r="I52" t="n">
        <v>0</v>
      </c>
      <c r="J52" t="inlineStr">
        <is>
          <t>present</t>
        </is>
      </c>
    </row>
    <row r="53">
      <c r="A53" t="inlineStr">
        <is>
          <t>DOCK</t>
        </is>
      </c>
      <c r="C53" t="n">
        <v>0</v>
      </c>
      <c r="D53" t="inlineStr">
        <is>
          <t>root</t>
        </is>
      </c>
      <c r="F53" t="inlineStr">
        <is>
          <t>Export / dock — north dock / freight; surplus export boundary.</t>
        </is>
      </c>
      <c r="G53" t="n">
        <v>2</v>
      </c>
      <c r="H53" s="5" t="n">
        <v>0</v>
      </c>
      <c r="I53" t="n">
        <v>0</v>
      </c>
      <c r="J53" t="inlineStr">
        <is>
          <t>present</t>
        </is>
      </c>
    </row>
    <row r="54">
      <c r="A54" t="inlineStr">
        <is>
          <t>DOCK.boundary-train</t>
        </is>
      </c>
      <c r="B54" t="inlineStr">
        <is>
          <t>DOCK</t>
        </is>
      </c>
      <c r="C54" t="n">
        <v>1</v>
      </c>
      <c r="D54" t="inlineStr">
        <is>
          <t>train</t>
        </is>
      </c>
      <c r="F54" t="inlineStr">
        <is>
          <t>North dock and the surplus export boundary.</t>
        </is>
      </c>
      <c r="G54" t="n">
        <v>2</v>
      </c>
      <c r="H54" s="5" t="n">
        <v>0</v>
      </c>
      <c r="I54" t="n">
        <v>0</v>
      </c>
      <c r="J54" t="inlineStr">
        <is>
          <t>present</t>
        </is>
      </c>
    </row>
    <row r="55">
      <c r="A55" t="inlineStr">
        <is>
          <t>DOCK.boundary-train.BOUNDARY_EXPORT</t>
        </is>
      </c>
      <c r="B55" t="inlineStr">
        <is>
          <t>DOCK.boundary-train</t>
        </is>
      </c>
      <c r="C55" t="n">
        <v>2</v>
      </c>
      <c r="D55" t="inlineStr">
        <is>
          <t>unit</t>
        </is>
      </c>
      <c r="E55" t="inlineStr">
        <is>
          <t>BOUNDARY_EXPORT</t>
        </is>
      </c>
      <c r="G55" t="n">
        <v>1</v>
      </c>
      <c r="H55" s="5" t="n">
        <v>0</v>
      </c>
      <c r="I55" t="n">
        <v>0</v>
      </c>
      <c r="J55" t="inlineStr">
        <is>
          <t>present</t>
        </is>
      </c>
    </row>
    <row r="56">
      <c r="A56" t="inlineStr">
        <is>
          <t>DOCK.boundary-train.NORTH_DOCK</t>
        </is>
      </c>
      <c r="B56" t="inlineStr">
        <is>
          <t>DOCK.boundary-train</t>
        </is>
      </c>
      <c r="C56" t="n">
        <v>2</v>
      </c>
      <c r="D56" t="inlineStr">
        <is>
          <t>unit</t>
        </is>
      </c>
      <c r="E56" t="inlineStr">
        <is>
          <t>NORTH_DOCK</t>
        </is>
      </c>
      <c r="G56" t="n">
        <v>1</v>
      </c>
      <c r="H56" s="5" t="n">
        <v>0</v>
      </c>
      <c r="I56" t="n">
        <v>0</v>
      </c>
      <c r="J56" t="inlineStr">
        <is>
          <t>present</t>
        </is>
      </c>
    </row>
    <row r="57">
      <c r="A57" t="inlineStr">
        <is>
          <t>ELEC</t>
        </is>
      </c>
      <c r="C57" t="n">
        <v>0</v>
      </c>
      <c r="D57" t="inlineStr">
        <is>
          <t>root</t>
        </is>
      </c>
      <c r="F57" t="inlineStr">
        <is>
          <t>Utility / header — Sol-Ark / ATS / RECT / MCC hub.</t>
        </is>
      </c>
      <c r="G57" t="n">
        <v>9</v>
      </c>
      <c r="H57" s="5" t="n">
        <v>600.6174</v>
      </c>
      <c r="I57" t="n">
        <v>6</v>
      </c>
      <c r="J57" t="inlineStr">
        <is>
          <t>present</t>
        </is>
      </c>
    </row>
    <row r="58">
      <c r="A58" t="inlineStr">
        <is>
          <t>ELEC.distribution-train</t>
        </is>
      </c>
      <c r="B58" t="inlineStr">
        <is>
          <t>ELEC</t>
        </is>
      </c>
      <c r="C58" t="n">
        <v>1</v>
      </c>
      <c r="D58" t="inlineStr">
        <is>
          <t>train</t>
        </is>
      </c>
      <c r="F58" t="inlineStr">
        <is>
          <t>Sol-Ark 60k inverter bus, rectifier DC bus bars, load aggregation, and the EXT_HALL building service.</t>
        </is>
      </c>
      <c r="G58" t="n">
        <v>4</v>
      </c>
      <c r="H58" s="5" t="n">
        <v>80.2838</v>
      </c>
      <c r="I58" t="n">
        <v>2</v>
      </c>
      <c r="J58" t="inlineStr">
        <is>
          <t>present</t>
        </is>
      </c>
    </row>
    <row r="59">
      <c r="A59" t="inlineStr">
        <is>
          <t>ELEC.distribution-train.EXT_HALL</t>
        </is>
      </c>
      <c r="B59" t="inlineStr">
        <is>
          <t>ELEC.distribution-train</t>
        </is>
      </c>
      <c r="C59" t="n">
        <v>2</v>
      </c>
      <c r="D59" t="inlineStr">
        <is>
          <t>unit</t>
        </is>
      </c>
      <c r="E59" t="inlineStr">
        <is>
          <t>EXT_HALL</t>
        </is>
      </c>
      <c r="G59" t="n">
        <v>1</v>
      </c>
      <c r="H59" s="5" t="n">
        <v>68.2838</v>
      </c>
      <c r="I59" t="n">
        <v>1</v>
      </c>
      <c r="J59" t="inlineStr">
        <is>
          <t>present</t>
        </is>
      </c>
    </row>
    <row r="60">
      <c r="A60" t="inlineStr">
        <is>
          <t>ELEC.distribution-train.LOAD_AGG</t>
        </is>
      </c>
      <c r="B60" t="inlineStr">
        <is>
          <t>ELEC.distribution-train</t>
        </is>
      </c>
      <c r="C60" t="n">
        <v>2</v>
      </c>
      <c r="D60" t="inlineStr">
        <is>
          <t>unit</t>
        </is>
      </c>
      <c r="E60" t="inlineStr">
        <is>
          <t>LOAD_AGG</t>
        </is>
      </c>
      <c r="G60" t="n">
        <v>1</v>
      </c>
      <c r="H60" s="5" t="n">
        <v>0</v>
      </c>
      <c r="I60" t="n">
        <v>0</v>
      </c>
      <c r="J60" t="inlineStr">
        <is>
          <t>present</t>
        </is>
      </c>
    </row>
    <row r="61">
      <c r="A61" t="inlineStr">
        <is>
          <t>ELEC.distribution-train.RECTIFIER</t>
        </is>
      </c>
      <c r="B61" t="inlineStr">
        <is>
          <t>ELEC.distribution-train</t>
        </is>
      </c>
      <c r="C61" t="n">
        <v>2</v>
      </c>
      <c r="D61" t="inlineStr">
        <is>
          <t>unit</t>
        </is>
      </c>
      <c r="E61" t="inlineStr">
        <is>
          <t>RECTIFIER</t>
        </is>
      </c>
      <c r="G61" t="n">
        <v>1</v>
      </c>
      <c r="H61" s="5" t="n">
        <v>12</v>
      </c>
      <c r="I61" t="n">
        <v>1</v>
      </c>
      <c r="J61" t="inlineStr">
        <is>
          <t>present</t>
        </is>
      </c>
    </row>
    <row r="62">
      <c r="A62" t="inlineStr">
        <is>
          <t>ELEC.distribution-train.SOL_ARK_60K</t>
        </is>
      </c>
      <c r="B62" t="inlineStr">
        <is>
          <t>ELEC.distribution-train</t>
        </is>
      </c>
      <c r="C62" t="n">
        <v>2</v>
      </c>
      <c r="D62" t="inlineStr">
        <is>
          <t>unit</t>
        </is>
      </c>
      <c r="E62" t="inlineStr">
        <is>
          <t>SOL_ARK_60K</t>
        </is>
      </c>
      <c r="G62" t="n">
        <v>1</v>
      </c>
      <c r="H62" s="5" t="n">
        <v>0</v>
      </c>
      <c r="I62" t="n">
        <v>0</v>
      </c>
      <c r="J62" t="inlineStr">
        <is>
          <t>present</t>
        </is>
      </c>
    </row>
    <row r="63">
      <c r="A63" t="inlineStr">
        <is>
          <t>ELEC.generation-train</t>
        </is>
      </c>
      <c r="B63" t="inlineStr">
        <is>
          <t>ELEC</t>
        </is>
      </c>
      <c r="C63" t="n">
        <v>1</v>
      </c>
      <c r="D63" t="inlineStr">
        <is>
          <t>train</t>
        </is>
      </c>
      <c r="F63" t="inlineStr">
        <is>
          <t>PV array, backup genset (H2 fuel), PEM fuel cell.</t>
        </is>
      </c>
      <c r="G63" t="n">
        <v>3</v>
      </c>
      <c r="H63" s="5" t="n">
        <v>340.7098</v>
      </c>
      <c r="I63" t="n">
        <v>3</v>
      </c>
      <c r="J63" t="inlineStr">
        <is>
          <t>present</t>
        </is>
      </c>
    </row>
    <row r="64">
      <c r="A64" t="inlineStr">
        <is>
          <t>ELEC.generation-train.BACKUP_GEN</t>
        </is>
      </c>
      <c r="B64" t="inlineStr">
        <is>
          <t>ELEC.generation-train</t>
        </is>
      </c>
      <c r="C64" t="n">
        <v>2</v>
      </c>
      <c r="D64" t="inlineStr">
        <is>
          <t>unit</t>
        </is>
      </c>
      <c r="E64" t="inlineStr">
        <is>
          <t>BACKUP_GEN</t>
        </is>
      </c>
      <c r="G64" t="n">
        <v>1</v>
      </c>
      <c r="H64" s="5" t="n">
        <v>0.008200000000000001</v>
      </c>
      <c r="I64" t="n">
        <v>1</v>
      </c>
      <c r="J64" t="inlineStr">
        <is>
          <t>present</t>
        </is>
      </c>
    </row>
    <row r="65">
      <c r="A65" t="inlineStr">
        <is>
          <t>ELEC.generation-train.FUEL_CELL</t>
        </is>
      </c>
      <c r="B65" t="inlineStr">
        <is>
          <t>ELEC.generation-train</t>
        </is>
      </c>
      <c r="C65" t="n">
        <v>2</v>
      </c>
      <c r="D65" t="inlineStr">
        <is>
          <t>unit</t>
        </is>
      </c>
      <c r="E65" t="inlineStr">
        <is>
          <t>FUEL_CELL</t>
        </is>
      </c>
      <c r="G65" t="n">
        <v>1</v>
      </c>
      <c r="H65" s="5" t="n">
        <v>4</v>
      </c>
      <c r="I65" t="n">
        <v>1</v>
      </c>
      <c r="J65" t="inlineStr">
        <is>
          <t>present</t>
        </is>
      </c>
    </row>
    <row r="66">
      <c r="A66" t="inlineStr">
        <is>
          <t>ELEC.generation-train.PV_ARRAY</t>
        </is>
      </c>
      <c r="B66" t="inlineStr">
        <is>
          <t>ELEC.generation-train</t>
        </is>
      </c>
      <c r="C66" t="n">
        <v>2</v>
      </c>
      <c r="D66" t="inlineStr">
        <is>
          <t>unit</t>
        </is>
      </c>
      <c r="E66" t="inlineStr">
        <is>
          <t>PV_ARRAY</t>
        </is>
      </c>
      <c r="G66" t="n">
        <v>1</v>
      </c>
      <c r="H66" s="5" t="n">
        <v>336.7016</v>
      </c>
      <c r="I66" t="n">
        <v>1</v>
      </c>
      <c r="J66" t="inlineStr">
        <is>
          <t>present</t>
        </is>
      </c>
    </row>
    <row r="67">
      <c r="A67" t="inlineStr">
        <is>
          <t>ELEC.storage-train</t>
        </is>
      </c>
      <c r="B67" t="inlineStr">
        <is>
          <t>ELEC</t>
        </is>
      </c>
      <c r="C67" t="n">
        <v>1</v>
      </c>
      <c r="D67" t="inlineStr">
        <is>
          <t>train</t>
        </is>
      </c>
      <c r="F67" t="inlineStr">
        <is>
          <t>ZnBr2 flow battery with its Br2 regeneration scrubber.</t>
        </is>
      </c>
      <c r="G67" t="n">
        <v>2</v>
      </c>
      <c r="H67" s="5" t="n">
        <v>179.6238</v>
      </c>
      <c r="I67" t="n">
        <v>1</v>
      </c>
      <c r="J67" t="inlineStr">
        <is>
          <t>present</t>
        </is>
      </c>
    </row>
    <row r="68">
      <c r="A68" t="inlineStr">
        <is>
          <t>ELEC.storage-train.ZNBR2</t>
        </is>
      </c>
      <c r="B68" t="inlineStr">
        <is>
          <t>ELEC.storage-train</t>
        </is>
      </c>
      <c r="C68" t="n">
        <v>2</v>
      </c>
      <c r="D68" t="inlineStr">
        <is>
          <t>unit</t>
        </is>
      </c>
      <c r="E68" t="inlineStr">
        <is>
          <t>ZNBR2</t>
        </is>
      </c>
      <c r="G68" t="n">
        <v>1</v>
      </c>
      <c r="H68" s="5" t="n">
        <v>179.6238</v>
      </c>
      <c r="I68" t="n">
        <v>1</v>
      </c>
      <c r="J68" t="inlineStr">
        <is>
          <t>present</t>
        </is>
      </c>
    </row>
    <row r="69">
      <c r="A69" t="inlineStr">
        <is>
          <t>ELEC.storage-train.ZNBR2_BR2_REGEN</t>
        </is>
      </c>
      <c r="B69" t="inlineStr">
        <is>
          <t>ELEC.storage-train</t>
        </is>
      </c>
      <c r="C69" t="n">
        <v>2</v>
      </c>
      <c r="D69" t="inlineStr">
        <is>
          <t>unit</t>
        </is>
      </c>
      <c r="E69" t="inlineStr">
        <is>
          <t>ZNBR2_BR2_REGEN</t>
        </is>
      </c>
      <c r="G69" t="n">
        <v>1</v>
      </c>
      <c r="H69" s="5" t="n">
        <v>0</v>
      </c>
      <c r="I69" t="n">
        <v>0</v>
      </c>
      <c r="J69" t="inlineStr">
        <is>
          <t>present</t>
        </is>
      </c>
    </row>
    <row r="70">
      <c r="A70" t="inlineStr">
        <is>
          <t>FAB</t>
        </is>
      </c>
      <c r="C70" t="n">
        <v>0</v>
      </c>
      <c r="D70" t="inlineStr">
        <is>
          <t>root</t>
        </is>
      </c>
      <c r="F70" t="inlineStr">
        <is>
          <t>Process (Mass transform) — wafer / solar-cell fab; litho required for MVS.</t>
        </is>
      </c>
      <c r="G70" t="n">
        <v>17</v>
      </c>
      <c r="H70" s="5" t="n">
        <v>1.1082</v>
      </c>
      <c r="I70" t="n">
        <v>7</v>
      </c>
      <c r="J70" t="inlineStr">
        <is>
          <t>retired</t>
        </is>
      </c>
    </row>
    <row r="71">
      <c r="A71" t="inlineStr">
        <is>
          <t>FAB.litho-train</t>
        </is>
      </c>
      <c r="B71" t="inlineStr">
        <is>
          <t>FAB</t>
        </is>
      </c>
      <c r="C71" t="n">
        <v>1</v>
      </c>
      <c r="D71" t="inlineStr">
        <is>
          <t>train</t>
        </is>
      </c>
      <c r="F71" t="inlineStr">
        <is>
          <t>STANDBY. Coat / align / develop tools with the LITHO_STUB spent-resist handoff to OIL_FRAC (ST-LITHO-01 until Present).</t>
        </is>
      </c>
      <c r="G71" t="n">
        <v>4</v>
      </c>
      <c r="H71" s="5" t="n">
        <v>0.0374</v>
      </c>
      <c r="I71" t="n">
        <v>3</v>
      </c>
      <c r="J71" t="inlineStr">
        <is>
          <t>retired</t>
        </is>
      </c>
    </row>
    <row r="72">
      <c r="A72" t="inlineStr">
        <is>
          <t>FAB.litho-train.LITHO_ALIGN</t>
        </is>
      </c>
      <c r="B72" t="inlineStr">
        <is>
          <t>FAB.litho-train</t>
        </is>
      </c>
      <c r="C72" t="n">
        <v>2</v>
      </c>
      <c r="D72" t="inlineStr">
        <is>
          <t>unit</t>
        </is>
      </c>
      <c r="E72" t="inlineStr">
        <is>
          <t>LITHO_ALIGN</t>
        </is>
      </c>
      <c r="G72" t="n">
        <v>1</v>
      </c>
      <c r="H72" s="5" t="n">
        <v>0.004</v>
      </c>
      <c r="I72" t="n">
        <v>1</v>
      </c>
      <c r="J72" t="inlineStr">
        <is>
          <t>present</t>
        </is>
      </c>
    </row>
    <row r="73">
      <c r="A73" t="inlineStr">
        <is>
          <t>FAB.litho-train.LITHO_COAT</t>
        </is>
      </c>
      <c r="B73" t="inlineStr">
        <is>
          <t>FAB.litho-train</t>
        </is>
      </c>
      <c r="C73" t="n">
        <v>2</v>
      </c>
      <c r="D73" t="inlineStr">
        <is>
          <t>unit</t>
        </is>
      </c>
      <c r="E73" t="inlineStr">
        <is>
          <t>LITHO_COAT</t>
        </is>
      </c>
      <c r="G73" t="n">
        <v>1</v>
      </c>
      <c r="H73" s="5" t="n">
        <v>0.0254</v>
      </c>
      <c r="I73" t="n">
        <v>1</v>
      </c>
      <c r="J73" t="inlineStr">
        <is>
          <t>present</t>
        </is>
      </c>
    </row>
    <row r="74">
      <c r="A74" t="inlineStr">
        <is>
          <t>FAB.litho-train.LITHO_DEV</t>
        </is>
      </c>
      <c r="B74" t="inlineStr">
        <is>
          <t>FAB.litho-train</t>
        </is>
      </c>
      <c r="C74" t="n">
        <v>2</v>
      </c>
      <c r="D74" t="inlineStr">
        <is>
          <t>unit</t>
        </is>
      </c>
      <c r="E74" t="inlineStr">
        <is>
          <t>LITHO_DEV</t>
        </is>
      </c>
      <c r="G74" t="n">
        <v>1</v>
      </c>
      <c r="H74" s="5" t="n">
        <v>0.008</v>
      </c>
      <c r="I74" t="n">
        <v>1</v>
      </c>
      <c r="J74" t="inlineStr">
        <is>
          <t>present</t>
        </is>
      </c>
    </row>
    <row r="75">
      <c r="A75" t="inlineStr">
        <is>
          <t>FAB.litho-train.LITHO_STUB</t>
        </is>
      </c>
      <c r="B75" t="inlineStr">
        <is>
          <t>FAB.litho-train</t>
        </is>
      </c>
      <c r="C75" t="n">
        <v>2</v>
      </c>
      <c r="D75" t="inlineStr">
        <is>
          <t>unit</t>
        </is>
      </c>
      <c r="E75" t="inlineStr">
        <is>
          <t>LITHO_STUB</t>
        </is>
      </c>
      <c r="G75" t="n">
        <v>1</v>
      </c>
      <c r="H75" s="5" t="n">
        <v>0</v>
      </c>
      <c r="I75" t="n">
        <v>0</v>
      </c>
      <c r="J75" t="inlineStr">
        <is>
          <t>retired</t>
        </is>
      </c>
    </row>
    <row r="76">
      <c r="A76" t="inlineStr">
        <is>
          <t>FAB.wafer-line-train</t>
        </is>
      </c>
      <c r="B76" t="inlineStr">
        <is>
          <t>FAB</t>
        </is>
      </c>
      <c r="C76" t="n">
        <v>1</v>
      </c>
      <c r="D76" t="inlineStr">
        <is>
          <t>train</t>
        </is>
      </c>
      <c r="F76" t="inlineStr">
        <is>
          <t>Wafer fab line with the SOLAR_PV_CELL study stub (ST-SOLAR-01 until Present).</t>
        </is>
      </c>
      <c r="G76" t="n">
        <v>2</v>
      </c>
      <c r="H76" s="5" t="n">
        <v>0.8334</v>
      </c>
      <c r="I76" t="n">
        <v>2</v>
      </c>
      <c r="J76" t="inlineStr">
        <is>
          <t>present</t>
        </is>
      </c>
    </row>
    <row r="77">
      <c r="A77" t="inlineStr">
        <is>
          <t>FAB.wafer-line-train.SOLAR_PV_CELL</t>
        </is>
      </c>
      <c r="B77" t="inlineStr">
        <is>
          <t>FAB.wafer-line-train</t>
        </is>
      </c>
      <c r="C77" t="n">
        <v>2</v>
      </c>
      <c r="D77" t="inlineStr">
        <is>
          <t>unit</t>
        </is>
      </c>
      <c r="E77" t="inlineStr">
        <is>
          <t>SOLAR_PV_CELL</t>
        </is>
      </c>
      <c r="G77" t="n">
        <v>1</v>
      </c>
      <c r="H77" s="5" t="n">
        <v>0.3917</v>
      </c>
      <c r="I77" t="n">
        <v>1</v>
      </c>
      <c r="J77" t="inlineStr">
        <is>
          <t>present</t>
        </is>
      </c>
    </row>
    <row r="78">
      <c r="A78" t="inlineStr">
        <is>
          <t>FAB.wafer-line-train.WAFER_FAB</t>
        </is>
      </c>
      <c r="B78" t="inlineStr">
        <is>
          <t>FAB.wafer-line-train</t>
        </is>
      </c>
      <c r="C78" t="n">
        <v>2</v>
      </c>
      <c r="D78" t="inlineStr">
        <is>
          <t>unit</t>
        </is>
      </c>
      <c r="E78" t="inlineStr">
        <is>
          <t>WAFER_FAB</t>
        </is>
      </c>
      <c r="G78" t="n">
        <v>1</v>
      </c>
      <c r="H78" s="5" t="n">
        <v>0.4417</v>
      </c>
      <c r="I78" t="n">
        <v>1</v>
      </c>
      <c r="J78" t="inlineStr">
        <is>
          <t>present</t>
        </is>
      </c>
    </row>
    <row r="79">
      <c r="A79" t="inlineStr">
        <is>
          <t>FAB.wet-reagent-train</t>
        </is>
      </c>
      <c r="B79" t="inlineStr">
        <is>
          <t>FAB</t>
        </is>
      </c>
      <c r="C79" t="n">
        <v>1</v>
      </c>
      <c r="D79" t="inlineStr">
        <is>
          <t>train</t>
        </is>
      </c>
      <c r="F79" t="inlineStr">
        <is>
          <t>Wet bench and UPW tank plus the nine WS_* reagent stands feeding bench and wafer fab.</t>
        </is>
      </c>
      <c r="G79" t="n">
        <v>11</v>
      </c>
      <c r="H79" s="5" t="n">
        <v>0.2374</v>
      </c>
      <c r="I79" t="n">
        <v>2</v>
      </c>
      <c r="J79" t="inlineStr">
        <is>
          <t>present</t>
        </is>
      </c>
    </row>
    <row r="80">
      <c r="A80" t="inlineStr">
        <is>
          <t>FAB.wet-reagent-train.bench</t>
        </is>
      </c>
      <c r="B80" t="inlineStr">
        <is>
          <t>FAB.wet-reagent-train</t>
        </is>
      </c>
      <c r="C80" t="n">
        <v>2</v>
      </c>
      <c r="D80" t="inlineStr">
        <is>
          <t>subsystem</t>
        </is>
      </c>
      <c r="F80" t="inlineStr">
        <is>
          <t>Wet bench with the fab UPW tank.</t>
        </is>
      </c>
      <c r="G80" t="n">
        <v>2</v>
      </c>
      <c r="H80" s="5" t="n">
        <v>0.2066</v>
      </c>
      <c r="I80" t="n">
        <v>1</v>
      </c>
      <c r="J80" t="inlineStr">
        <is>
          <t>present</t>
        </is>
      </c>
    </row>
    <row r="81">
      <c r="A81" t="inlineStr">
        <is>
          <t>FAB.wet-reagent-train.bench.FAB_UPW_TANK</t>
        </is>
      </c>
      <c r="B81" t="inlineStr">
        <is>
          <t>FAB.wet-reagent-train.bench</t>
        </is>
      </c>
      <c r="C81" t="n">
        <v>3</v>
      </c>
      <c r="D81" t="inlineStr">
        <is>
          <t>unit</t>
        </is>
      </c>
      <c r="E81" t="inlineStr">
        <is>
          <t>FAB_UPW_TANK</t>
        </is>
      </c>
      <c r="G81" t="n">
        <v>1</v>
      </c>
      <c r="H81" s="5" t="n">
        <v>0</v>
      </c>
      <c r="I81" t="n">
        <v>0</v>
      </c>
      <c r="J81" t="inlineStr">
        <is>
          <t>present</t>
        </is>
      </c>
    </row>
    <row r="82">
      <c r="A82" t="inlineStr">
        <is>
          <t>FAB.wet-reagent-train.bench.WET_BENCH</t>
        </is>
      </c>
      <c r="B82" t="inlineStr">
        <is>
          <t>FAB.wet-reagent-train.bench</t>
        </is>
      </c>
      <c r="C82" t="n">
        <v>3</v>
      </c>
      <c r="D82" t="inlineStr">
        <is>
          <t>unit</t>
        </is>
      </c>
      <c r="E82" t="inlineStr">
        <is>
          <t>WET_BENCH</t>
        </is>
      </c>
      <c r="G82" t="n">
        <v>1</v>
      </c>
      <c r="H82" s="5" t="n">
        <v>0.2066</v>
      </c>
      <c r="I82" t="n">
        <v>1</v>
      </c>
      <c r="J82" t="inlineStr">
        <is>
          <t>present</t>
        </is>
      </c>
    </row>
    <row r="83">
      <c r="A83" t="inlineStr">
        <is>
          <t>FAB.wet-reagent-train.reagents</t>
        </is>
      </c>
      <c r="B83" t="inlineStr">
        <is>
          <t>FAB.wet-reagent-train</t>
        </is>
      </c>
      <c r="C83" t="n">
        <v>2</v>
      </c>
      <c r="D83" t="inlineStr">
        <is>
          <t>subsystem</t>
        </is>
      </c>
      <c r="F83" t="inlineStr">
        <is>
          <t>Nine WS_* reagent stands (HF, KOH, nitric, peroxide, ammonia, phosphoric, dope, slurry, solvent).</t>
        </is>
      </c>
      <c r="G83" t="n">
        <v>9</v>
      </c>
      <c r="H83" s="5" t="n">
        <v>0.0308</v>
      </c>
      <c r="I83" t="n">
        <v>1</v>
      </c>
      <c r="J83" t="inlineStr">
        <is>
          <t>present</t>
        </is>
      </c>
    </row>
    <row r="84">
      <c r="A84" t="inlineStr">
        <is>
          <t>FAB.wet-reagent-train.reagents.WS_AMMONIA</t>
        </is>
      </c>
      <c r="B84" t="inlineStr">
        <is>
          <t>FAB.wet-reagent-train.reagents</t>
        </is>
      </c>
      <c r="C84" t="n">
        <v>3</v>
      </c>
      <c r="D84" t="inlineStr">
        <is>
          <t>unit</t>
        </is>
      </c>
      <c r="E84" t="inlineStr">
        <is>
          <t>WS_AMMONIA</t>
        </is>
      </c>
      <c r="G84" t="n">
        <v>1</v>
      </c>
      <c r="H84" s="5" t="n">
        <v>0</v>
      </c>
      <c r="I84" t="n">
        <v>0</v>
      </c>
      <c r="J84" t="inlineStr">
        <is>
          <t>present</t>
        </is>
      </c>
    </row>
    <row r="85">
      <c r="A85" t="inlineStr">
        <is>
          <t>FAB.wet-reagent-train.reagents.WS_DOPE</t>
        </is>
      </c>
      <c r="B85" t="inlineStr">
        <is>
          <t>FAB.wet-reagent-train.reagents</t>
        </is>
      </c>
      <c r="C85" t="n">
        <v>3</v>
      </c>
      <c r="D85" t="inlineStr">
        <is>
          <t>unit</t>
        </is>
      </c>
      <c r="E85" t="inlineStr">
        <is>
          <t>WS_DOPE</t>
        </is>
      </c>
      <c r="G85" t="n">
        <v>1</v>
      </c>
      <c r="H85" s="5" t="n">
        <v>0</v>
      </c>
      <c r="I85" t="n">
        <v>0</v>
      </c>
      <c r="J85" t="inlineStr">
        <is>
          <t>present</t>
        </is>
      </c>
    </row>
    <row r="86">
      <c r="A86" t="inlineStr">
        <is>
          <t>FAB.wet-reagent-train.reagents.WS_HF_ED</t>
        </is>
      </c>
      <c r="B86" t="inlineStr">
        <is>
          <t>FAB.wet-reagent-train.reagents</t>
        </is>
      </c>
      <c r="C86" t="n">
        <v>3</v>
      </c>
      <c r="D86" t="inlineStr">
        <is>
          <t>unit</t>
        </is>
      </c>
      <c r="E86" t="inlineStr">
        <is>
          <t>WS_HF_ED</t>
        </is>
      </c>
      <c r="G86" t="n">
        <v>1</v>
      </c>
      <c r="H86" s="5" t="n">
        <v>0</v>
      </c>
      <c r="I86" t="n">
        <v>0</v>
      </c>
      <c r="J86" t="inlineStr">
        <is>
          <t>present</t>
        </is>
      </c>
    </row>
    <row r="87">
      <c r="A87" t="inlineStr">
        <is>
          <t>FAB.wet-reagent-train.reagents.WS_KOH</t>
        </is>
      </c>
      <c r="B87" t="inlineStr">
        <is>
          <t>FAB.wet-reagent-train.reagents</t>
        </is>
      </c>
      <c r="C87" t="n">
        <v>3</v>
      </c>
      <c r="D87" t="inlineStr">
        <is>
          <t>unit</t>
        </is>
      </c>
      <c r="E87" t="inlineStr">
        <is>
          <t>WS_KOH</t>
        </is>
      </c>
      <c r="G87" t="n">
        <v>1</v>
      </c>
      <c r="H87" s="5" t="n">
        <v>0</v>
      </c>
      <c r="I87" t="n">
        <v>0</v>
      </c>
      <c r="J87" t="inlineStr">
        <is>
          <t>present</t>
        </is>
      </c>
    </row>
    <row r="88">
      <c r="A88" t="inlineStr">
        <is>
          <t>FAB.wet-reagent-train.reagents.WS_NITRIC</t>
        </is>
      </c>
      <c r="B88" t="inlineStr">
        <is>
          <t>FAB.wet-reagent-train.reagents</t>
        </is>
      </c>
      <c r="C88" t="n">
        <v>3</v>
      </c>
      <c r="D88" t="inlineStr">
        <is>
          <t>unit</t>
        </is>
      </c>
      <c r="E88" t="inlineStr">
        <is>
          <t>WS_NITRIC</t>
        </is>
      </c>
      <c r="G88" t="n">
        <v>1</v>
      </c>
      <c r="H88" s="5" t="n">
        <v>0</v>
      </c>
      <c r="I88" t="n">
        <v>0</v>
      </c>
      <c r="J88" t="inlineStr">
        <is>
          <t>present</t>
        </is>
      </c>
    </row>
    <row r="89">
      <c r="A89" t="inlineStr">
        <is>
          <t>FAB.wet-reagent-train.reagents.WS_PEROX</t>
        </is>
      </c>
      <c r="B89" t="inlineStr">
        <is>
          <t>FAB.wet-reagent-train.reagents</t>
        </is>
      </c>
      <c r="C89" t="n">
        <v>3</v>
      </c>
      <c r="D89" t="inlineStr">
        <is>
          <t>unit</t>
        </is>
      </c>
      <c r="E89" t="inlineStr">
        <is>
          <t>WS_PEROX</t>
        </is>
      </c>
      <c r="G89" t="n">
        <v>1</v>
      </c>
      <c r="H89" s="5" t="n">
        <v>0.0308</v>
      </c>
      <c r="I89" t="n">
        <v>1</v>
      </c>
      <c r="J89" t="inlineStr">
        <is>
          <t>present</t>
        </is>
      </c>
    </row>
    <row r="90">
      <c r="A90" t="inlineStr">
        <is>
          <t>FAB.wet-reagent-train.reagents.WS_PHOS</t>
        </is>
      </c>
      <c r="B90" t="inlineStr">
        <is>
          <t>FAB.wet-reagent-train.reagents</t>
        </is>
      </c>
      <c r="C90" t="n">
        <v>3</v>
      </c>
      <c r="D90" t="inlineStr">
        <is>
          <t>unit</t>
        </is>
      </c>
      <c r="E90" t="inlineStr">
        <is>
          <t>WS_PHOS</t>
        </is>
      </c>
      <c r="G90" t="n">
        <v>1</v>
      </c>
      <c r="H90" s="5" t="n">
        <v>0</v>
      </c>
      <c r="I90" t="n">
        <v>0</v>
      </c>
      <c r="J90" t="inlineStr">
        <is>
          <t>present</t>
        </is>
      </c>
    </row>
    <row r="91">
      <c r="A91" t="inlineStr">
        <is>
          <t>FAB.wet-reagent-train.reagents.WS_SLURRY</t>
        </is>
      </c>
      <c r="B91" t="inlineStr">
        <is>
          <t>FAB.wet-reagent-train.reagents</t>
        </is>
      </c>
      <c r="C91" t="n">
        <v>3</v>
      </c>
      <c r="D91" t="inlineStr">
        <is>
          <t>unit</t>
        </is>
      </c>
      <c r="E91" t="inlineStr">
        <is>
          <t>WS_SLURRY</t>
        </is>
      </c>
      <c r="G91" t="n">
        <v>1</v>
      </c>
      <c r="H91" s="5" t="n">
        <v>0</v>
      </c>
      <c r="I91" t="n">
        <v>0</v>
      </c>
      <c r="J91" t="inlineStr">
        <is>
          <t>present</t>
        </is>
      </c>
    </row>
    <row r="92">
      <c r="A92" t="inlineStr">
        <is>
          <t>FAB.wet-reagent-train.reagents.WS_SOLV</t>
        </is>
      </c>
      <c r="B92" t="inlineStr">
        <is>
          <t>FAB.wet-reagent-train.reagents</t>
        </is>
      </c>
      <c r="C92" t="n">
        <v>3</v>
      </c>
      <c r="D92" t="inlineStr">
        <is>
          <t>unit</t>
        </is>
      </c>
      <c r="E92" t="inlineStr">
        <is>
          <t>WS_SOLV</t>
        </is>
      </c>
      <c r="G92" t="n">
        <v>1</v>
      </c>
      <c r="H92" s="5" t="n">
        <v>0</v>
      </c>
      <c r="I92" t="n">
        <v>0</v>
      </c>
      <c r="J92" t="inlineStr">
        <is>
          <t>present</t>
        </is>
      </c>
    </row>
    <row r="93">
      <c r="A93" t="inlineStr">
        <is>
          <t>FARM</t>
        </is>
      </c>
      <c r="C93" t="n">
        <v>0</v>
      </c>
      <c r="D93" t="inlineStr">
        <is>
          <t>root</t>
        </is>
      </c>
      <c r="F93" t="inlineStr">
        <is>
          <t>Life support / habitat — grow beds; food surplus.</t>
        </is>
      </c>
      <c r="G93" t="n">
        <v>2</v>
      </c>
      <c r="H93" s="5" t="n">
        <v>2.0463</v>
      </c>
      <c r="I93" t="n">
        <v>1</v>
      </c>
      <c r="J93" t="inlineStr">
        <is>
          <t>present</t>
        </is>
      </c>
    </row>
    <row r="94">
      <c r="A94" t="inlineStr">
        <is>
          <t>FARM.grow-bed-train</t>
        </is>
      </c>
      <c r="B94" t="inlineStr">
        <is>
          <t>FARM</t>
        </is>
      </c>
      <c r="C94" t="n">
        <v>1</v>
      </c>
      <c r="D94" t="inlineStr">
        <is>
          <t>train</t>
        </is>
      </c>
      <c r="F94" t="inlineStr">
        <is>
          <t>Grow beds; food and photosynthetic O2 to HAB.</t>
        </is>
      </c>
      <c r="G94" t="n">
        <v>2</v>
      </c>
      <c r="H94" s="5" t="n">
        <v>2.0463</v>
      </c>
      <c r="I94" t="n">
        <v>1</v>
      </c>
      <c r="J94" t="inlineStr">
        <is>
          <t>present</t>
        </is>
      </c>
    </row>
    <row r="95">
      <c r="A95" t="inlineStr">
        <is>
          <t>FARM.grow-bed-train.FOOD_STORE</t>
        </is>
      </c>
      <c r="B95" t="inlineStr">
        <is>
          <t>FARM.grow-bed-train</t>
        </is>
      </c>
      <c r="C95" t="n">
        <v>2</v>
      </c>
      <c r="D95" t="inlineStr">
        <is>
          <t>unit</t>
        </is>
      </c>
      <c r="E95" t="inlineStr">
        <is>
          <t>FOOD_STORE</t>
        </is>
      </c>
      <c r="F95" t="inlineStr">
        <is>
          <t>Food buffer store (D-DOCK): harvest pass-through plus the X-RED-08 80 d dry reserve.</t>
        </is>
      </c>
      <c r="G95" t="n">
        <v>1</v>
      </c>
      <c r="H95" s="5" t="n">
        <v>0</v>
      </c>
      <c r="I95" t="n">
        <v>0</v>
      </c>
      <c r="J95" t="inlineStr">
        <is>
          <t>present</t>
        </is>
      </c>
    </row>
    <row r="96">
      <c r="A96" t="inlineStr">
        <is>
          <t>FARM.grow-bed-train.GROW_BED</t>
        </is>
      </c>
      <c r="B96" t="inlineStr">
        <is>
          <t>FARM.grow-bed-train</t>
        </is>
      </c>
      <c r="C96" t="n">
        <v>2</v>
      </c>
      <c r="D96" t="inlineStr">
        <is>
          <t>unit</t>
        </is>
      </c>
      <c r="E96" t="inlineStr">
        <is>
          <t>GROW_BED</t>
        </is>
      </c>
      <c r="G96" t="n">
        <v>1</v>
      </c>
      <c r="H96" s="5" t="n">
        <v>2.0463</v>
      </c>
      <c r="I96" t="n">
        <v>1</v>
      </c>
      <c r="J96" t="inlineStr">
        <is>
          <t>present</t>
        </is>
      </c>
    </row>
    <row r="97">
      <c r="A97" t="inlineStr">
        <is>
          <t>FOUNDRY</t>
        </is>
      </c>
      <c r="C97" t="n">
        <v>0</v>
      </c>
      <c r="D97" t="inlineStr">
        <is>
          <t>root</t>
        </is>
      </c>
      <c r="F97" t="inlineStr">
        <is>
          <t>Process (Mass transform) — smelting pots, casting, forging, rolling (goods-surplus train with MFG/FAB).</t>
        </is>
      </c>
      <c r="G97" t="n">
        <v>27</v>
      </c>
      <c r="H97" s="5" t="n">
        <v>9.526899999999999</v>
      </c>
      <c r="I97" t="n">
        <v>22</v>
      </c>
      <c r="J97" t="inlineStr">
        <is>
          <t>present</t>
        </is>
      </c>
    </row>
    <row r="98">
      <c r="A98" t="inlineStr">
        <is>
          <t>FOUNDRY.form-train</t>
        </is>
      </c>
      <c r="B98" t="inlineStr">
        <is>
          <t>FOUNDRY</t>
        </is>
      </c>
      <c r="C98" t="n">
        <v>1</v>
      </c>
      <c r="D98" t="inlineStr">
        <is>
          <t>train</t>
        </is>
      </c>
      <c r="F98" t="inlineStr">
        <is>
          <t>Solid forming: roll, extrude, draw, forge, sinter; STOCK_OUT stages and dispatches to the metal product store (METAL_STORE) and on to MFG / FAB / wire draw.</t>
        </is>
      </c>
      <c r="G98" t="n">
        <v>7</v>
      </c>
      <c r="H98" s="5" t="n">
        <v>0</v>
      </c>
      <c r="I98" t="n">
        <v>4</v>
      </c>
      <c r="J98" t="inlineStr">
        <is>
          <t>present</t>
        </is>
      </c>
    </row>
    <row r="99">
      <c r="A99" t="inlineStr">
        <is>
          <t>FOUNDRY.form-train.DRAW</t>
        </is>
      </c>
      <c r="B99" t="inlineStr">
        <is>
          <t>FOUNDRY.form-train</t>
        </is>
      </c>
      <c r="C99" t="n">
        <v>2</v>
      </c>
      <c r="D99" t="inlineStr">
        <is>
          <t>unit</t>
        </is>
      </c>
      <c r="E99" t="inlineStr">
        <is>
          <t>DRAW</t>
        </is>
      </c>
      <c r="G99" t="n">
        <v>1</v>
      </c>
      <c r="H99" s="5" t="n">
        <v>0</v>
      </c>
      <c r="I99" t="n">
        <v>1</v>
      </c>
      <c r="J99" t="inlineStr">
        <is>
          <t>present</t>
        </is>
      </c>
    </row>
    <row r="100">
      <c r="A100" t="inlineStr">
        <is>
          <t>FOUNDRY.form-train.EXTRUDE</t>
        </is>
      </c>
      <c r="B100" t="inlineStr">
        <is>
          <t>FOUNDRY.form-train</t>
        </is>
      </c>
      <c r="C100" t="n">
        <v>2</v>
      </c>
      <c r="D100" t="inlineStr">
        <is>
          <t>unit</t>
        </is>
      </c>
      <c r="E100" t="inlineStr">
        <is>
          <t>EXTRUDE</t>
        </is>
      </c>
      <c r="G100" t="n">
        <v>1</v>
      </c>
      <c r="H100" s="5" t="n">
        <v>0</v>
      </c>
      <c r="I100" t="n">
        <v>1</v>
      </c>
      <c r="J100" t="inlineStr">
        <is>
          <t>present</t>
        </is>
      </c>
    </row>
    <row r="101">
      <c r="A101" t="inlineStr">
        <is>
          <t>FOUNDRY.form-train.FORGE</t>
        </is>
      </c>
      <c r="B101" t="inlineStr">
        <is>
          <t>FOUNDRY.form-train</t>
        </is>
      </c>
      <c r="C101" t="n">
        <v>2</v>
      </c>
      <c r="D101" t="inlineStr">
        <is>
          <t>unit</t>
        </is>
      </c>
      <c r="E101" t="inlineStr">
        <is>
          <t>FORGE</t>
        </is>
      </c>
      <c r="G101" t="n">
        <v>1</v>
      </c>
      <c r="H101" s="5" t="n">
        <v>0</v>
      </c>
      <c r="I101" t="n">
        <v>1</v>
      </c>
      <c r="J101" t="inlineStr">
        <is>
          <t>present</t>
        </is>
      </c>
    </row>
    <row r="102">
      <c r="A102" t="inlineStr">
        <is>
          <t>FOUNDRY.form-train.METAL_STORE</t>
        </is>
      </c>
      <c r="B102" t="inlineStr">
        <is>
          <t>FOUNDRY.form-train</t>
        </is>
      </c>
      <c r="C102" t="n">
        <v>2</v>
      </c>
      <c r="D102" t="inlineStr">
        <is>
          <t>unit</t>
        </is>
      </c>
      <c r="E102" t="inlineStr">
        <is>
          <t>METAL_STORE</t>
        </is>
      </c>
      <c r="F102" t="inlineStr">
        <is>
          <t>Metal product buffer store (D-DOCK): foundry output held against the MFG / FAB dispatch, 14 d campaign.</t>
        </is>
      </c>
      <c r="G102" t="n">
        <v>1</v>
      </c>
      <c r="H102" s="5" t="n">
        <v>0</v>
      </c>
      <c r="I102" t="n">
        <v>0</v>
      </c>
      <c r="J102" t="inlineStr">
        <is>
          <t>present</t>
        </is>
      </c>
    </row>
    <row r="103">
      <c r="A103" t="inlineStr">
        <is>
          <t>FOUNDRY.form-train.ROLL</t>
        </is>
      </c>
      <c r="B103" t="inlineStr">
        <is>
          <t>FOUNDRY.form-train</t>
        </is>
      </c>
      <c r="C103" t="n">
        <v>2</v>
      </c>
      <c r="D103" t="inlineStr">
        <is>
          <t>unit</t>
        </is>
      </c>
      <c r="E103" t="inlineStr">
        <is>
          <t>ROLL</t>
        </is>
      </c>
      <c r="G103" t="n">
        <v>1</v>
      </c>
      <c r="H103" s="5" t="n">
        <v>0</v>
      </c>
      <c r="I103" t="n">
        <v>0</v>
      </c>
      <c r="J103" t="inlineStr">
        <is>
          <t>present</t>
        </is>
      </c>
    </row>
    <row r="104">
      <c r="A104" t="inlineStr">
        <is>
          <t>FOUNDRY.form-train.SINTER</t>
        </is>
      </c>
      <c r="B104" t="inlineStr">
        <is>
          <t>FOUNDRY.form-train</t>
        </is>
      </c>
      <c r="C104" t="n">
        <v>2</v>
      </c>
      <c r="D104" t="inlineStr">
        <is>
          <t>unit</t>
        </is>
      </c>
      <c r="E104" t="inlineStr">
        <is>
          <t>SINTER</t>
        </is>
      </c>
      <c r="G104" t="n">
        <v>1</v>
      </c>
      <c r="H104" s="5" t="n">
        <v>0</v>
      </c>
      <c r="I104" t="n">
        <v>1</v>
      </c>
      <c r="J104" t="inlineStr">
        <is>
          <t>present</t>
        </is>
      </c>
    </row>
    <row r="105">
      <c r="A105" t="inlineStr">
        <is>
          <t>FOUNDRY.form-train.STOCK_OUT</t>
        </is>
      </c>
      <c r="B105" t="inlineStr">
        <is>
          <t>FOUNDRY.form-train</t>
        </is>
      </c>
      <c r="C105" t="n">
        <v>2</v>
      </c>
      <c r="D105" t="inlineStr">
        <is>
          <t>unit</t>
        </is>
      </c>
      <c r="E105" t="inlineStr">
        <is>
          <t>STOCK_OUT</t>
        </is>
      </c>
      <c r="G105" t="n">
        <v>1</v>
      </c>
      <c r="H105" s="5" t="n">
        <v>0</v>
      </c>
      <c r="I105" t="n">
        <v>0</v>
      </c>
      <c r="J105" t="inlineStr">
        <is>
          <t>present</t>
        </is>
      </c>
    </row>
    <row r="106">
      <c r="A106" t="inlineStr">
        <is>
          <t>FOUNDRY.investment-casting-train</t>
        </is>
      </c>
      <c r="B106" t="inlineStr">
        <is>
          <t>FOUNDRY</t>
        </is>
      </c>
      <c r="C106" t="n">
        <v>1</v>
      </c>
      <c r="D106" t="inlineStr">
        <is>
          <t>train</t>
        </is>
      </c>
      <c r="F106" t="inlineStr">
        <is>
          <t>STANDBY. Wax pattern, shell build and burnout, investment pour, shell break; spent shell to GLASS.MILL, wax reclaim and wax-to-oil.</t>
        </is>
      </c>
      <c r="G106" t="n">
        <v>5</v>
      </c>
      <c r="H106" s="5" t="n">
        <v>1.6</v>
      </c>
      <c r="I106" t="n">
        <v>5</v>
      </c>
      <c r="J106" t="inlineStr">
        <is>
          <t>present</t>
        </is>
      </c>
    </row>
    <row r="107">
      <c r="A107" t="inlineStr">
        <is>
          <t>FOUNDRY.investment-casting-train.INV_CAST</t>
        </is>
      </c>
      <c r="B107" t="inlineStr">
        <is>
          <t>FOUNDRY.investment-casting-train</t>
        </is>
      </c>
      <c r="C107" t="n">
        <v>2</v>
      </c>
      <c r="D107" t="inlineStr">
        <is>
          <t>unit</t>
        </is>
      </c>
      <c r="E107" t="inlineStr">
        <is>
          <t>INV_CAST</t>
        </is>
      </c>
      <c r="G107" t="n">
        <v>1</v>
      </c>
      <c r="H107" s="5" t="n">
        <v>0.15</v>
      </c>
      <c r="I107" t="n">
        <v>1</v>
      </c>
      <c r="J107" t="inlineStr">
        <is>
          <t>present</t>
        </is>
      </c>
    </row>
    <row r="108">
      <c r="A108" t="inlineStr">
        <is>
          <t>FOUNDRY.investment-casting-train.SHELL_BREAK</t>
        </is>
      </c>
      <c r="B108" t="inlineStr">
        <is>
          <t>FOUNDRY.investment-casting-train</t>
        </is>
      </c>
      <c r="C108" t="n">
        <v>2</v>
      </c>
      <c r="D108" t="inlineStr">
        <is>
          <t>unit</t>
        </is>
      </c>
      <c r="E108" t="inlineStr">
        <is>
          <t>SHELL_BREAK</t>
        </is>
      </c>
      <c r="G108" t="n">
        <v>1</v>
      </c>
      <c r="H108" s="5" t="n">
        <v>0.4</v>
      </c>
      <c r="I108" t="n">
        <v>1</v>
      </c>
      <c r="J108" t="inlineStr">
        <is>
          <t>present</t>
        </is>
      </c>
    </row>
    <row r="109">
      <c r="A109" t="inlineStr">
        <is>
          <t>FOUNDRY.investment-casting-train.SHELL_BUILD</t>
        </is>
      </c>
      <c r="B109" t="inlineStr">
        <is>
          <t>FOUNDRY.investment-casting-train</t>
        </is>
      </c>
      <c r="C109" t="n">
        <v>2</v>
      </c>
      <c r="D109" t="inlineStr">
        <is>
          <t>unit</t>
        </is>
      </c>
      <c r="E109" t="inlineStr">
        <is>
          <t>SHELL_BUILD</t>
        </is>
      </c>
      <c r="G109" t="n">
        <v>1</v>
      </c>
      <c r="H109" s="5" t="n">
        <v>0.3</v>
      </c>
      <c r="I109" t="n">
        <v>1</v>
      </c>
      <c r="J109" t="inlineStr">
        <is>
          <t>present</t>
        </is>
      </c>
    </row>
    <row r="110">
      <c r="A110" t="inlineStr">
        <is>
          <t>FOUNDRY.investment-casting-train.SHELL_BURNOUT</t>
        </is>
      </c>
      <c r="B110" t="inlineStr">
        <is>
          <t>FOUNDRY.investment-casting-train</t>
        </is>
      </c>
      <c r="C110" t="n">
        <v>2</v>
      </c>
      <c r="D110" t="inlineStr">
        <is>
          <t>unit</t>
        </is>
      </c>
      <c r="E110" t="inlineStr">
        <is>
          <t>SHELL_BURNOUT</t>
        </is>
      </c>
      <c r="G110" t="n">
        <v>1</v>
      </c>
      <c r="H110" s="5" t="n">
        <v>0.25</v>
      </c>
      <c r="I110" t="n">
        <v>1</v>
      </c>
      <c r="J110" t="inlineStr">
        <is>
          <t>present</t>
        </is>
      </c>
    </row>
    <row r="111">
      <c r="A111" t="inlineStr">
        <is>
          <t>FOUNDRY.investment-casting-train.WAX_PATTERN</t>
        </is>
      </c>
      <c r="B111" t="inlineStr">
        <is>
          <t>FOUNDRY.investment-casting-train</t>
        </is>
      </c>
      <c r="C111" t="n">
        <v>2</v>
      </c>
      <c r="D111" t="inlineStr">
        <is>
          <t>unit</t>
        </is>
      </c>
      <c r="E111" t="inlineStr">
        <is>
          <t>WAX_PATTERN</t>
        </is>
      </c>
      <c r="G111" t="n">
        <v>1</v>
      </c>
      <c r="H111" s="5" t="n">
        <v>0.5</v>
      </c>
      <c r="I111" t="n">
        <v>1</v>
      </c>
      <c r="J111" t="inlineStr">
        <is>
          <t>present</t>
        </is>
      </c>
    </row>
    <row r="112">
      <c r="A112" t="inlineStr">
        <is>
          <t>FOUNDRY.melt-and-cast-train</t>
        </is>
      </c>
      <c r="B112" t="inlineStr">
        <is>
          <t>FOUNDRY</t>
        </is>
      </c>
      <c r="C112" t="n">
        <v>1</v>
      </c>
      <c r="D112" t="inlineStr">
        <is>
          <t>train</t>
        </is>
      </c>
      <c r="F112" t="inlineStr">
        <is>
          <t>Primary melt route: induction and vacuum furnaces with flux prep feeding the cast line, continuous caster, and vacuum cast.</t>
        </is>
      </c>
      <c r="G112" t="n">
        <v>9</v>
      </c>
      <c r="H112" s="5" t="n">
        <v>1.0354</v>
      </c>
      <c r="I112" t="n">
        <v>7</v>
      </c>
      <c r="J112" t="inlineStr">
        <is>
          <t>present</t>
        </is>
      </c>
    </row>
    <row r="113">
      <c r="A113" t="inlineStr">
        <is>
          <t>FOUNDRY.melt-and-cast-train.cast</t>
        </is>
      </c>
      <c r="B113" t="inlineStr">
        <is>
          <t>FOUNDRY.melt-and-cast-train</t>
        </is>
      </c>
      <c r="C113" t="n">
        <v>2</v>
      </c>
      <c r="D113" t="inlineStr">
        <is>
          <t>subsystem</t>
        </is>
      </c>
      <c r="F113" t="inlineStr">
        <is>
          <t>Cast line, continuous caster, vacuum cast.</t>
        </is>
      </c>
      <c r="G113" t="n">
        <v>3</v>
      </c>
      <c r="H113" s="5" t="n">
        <v>0</v>
      </c>
      <c r="I113" t="n">
        <v>1</v>
      </c>
      <c r="J113" t="inlineStr">
        <is>
          <t>present</t>
        </is>
      </c>
    </row>
    <row r="114">
      <c r="A114" t="inlineStr">
        <is>
          <t>FOUNDRY.melt-and-cast-train.cast.CAST_LINE</t>
        </is>
      </c>
      <c r="B114" t="inlineStr">
        <is>
          <t>FOUNDRY.melt-and-cast-train.cast</t>
        </is>
      </c>
      <c r="C114" t="n">
        <v>3</v>
      </c>
      <c r="D114" t="inlineStr">
        <is>
          <t>unit</t>
        </is>
      </c>
      <c r="E114" t="inlineStr">
        <is>
          <t>CAST_LINE</t>
        </is>
      </c>
      <c r="G114" t="n">
        <v>1</v>
      </c>
      <c r="H114" s="5" t="n">
        <v>0</v>
      </c>
      <c r="I114" t="n">
        <v>0</v>
      </c>
      <c r="J114" t="inlineStr">
        <is>
          <t>present</t>
        </is>
      </c>
    </row>
    <row r="115">
      <c r="A115" t="inlineStr">
        <is>
          <t>FOUNDRY.melt-and-cast-train.cast.CONT_CAST</t>
        </is>
      </c>
      <c r="B115" t="inlineStr">
        <is>
          <t>FOUNDRY.melt-and-cast-train.cast</t>
        </is>
      </c>
      <c r="C115" t="n">
        <v>3</v>
      </c>
      <c r="D115" t="inlineStr">
        <is>
          <t>unit</t>
        </is>
      </c>
      <c r="E115" t="inlineStr">
        <is>
          <t>CONT_CAST</t>
        </is>
      </c>
      <c r="G115" t="n">
        <v>1</v>
      </c>
      <c r="H115" s="5" t="n">
        <v>0</v>
      </c>
      <c r="I115" t="n">
        <v>0</v>
      </c>
      <c r="J115" t="inlineStr">
        <is>
          <t>present</t>
        </is>
      </c>
    </row>
    <row r="116">
      <c r="A116" t="inlineStr">
        <is>
          <t>FOUNDRY.melt-and-cast-train.cast.VAC_CAST</t>
        </is>
      </c>
      <c r="B116" t="inlineStr">
        <is>
          <t>FOUNDRY.melt-and-cast-train.cast</t>
        </is>
      </c>
      <c r="C116" t="n">
        <v>3</v>
      </c>
      <c r="D116" t="inlineStr">
        <is>
          <t>unit</t>
        </is>
      </c>
      <c r="E116" t="inlineStr">
        <is>
          <t>VAC_CAST</t>
        </is>
      </c>
      <c r="G116" t="n">
        <v>1</v>
      </c>
      <c r="H116" s="5" t="n">
        <v>0</v>
      </c>
      <c r="I116" t="n">
        <v>1</v>
      </c>
      <c r="J116" t="inlineStr">
        <is>
          <t>present</t>
        </is>
      </c>
    </row>
    <row r="117">
      <c r="A117" t="inlineStr">
        <is>
          <t>FOUNDRY.melt-and-cast-train.melt</t>
        </is>
      </c>
      <c r="B117" t="inlineStr">
        <is>
          <t>FOUNDRY.melt-and-cast-train</t>
        </is>
      </c>
      <c r="C117" t="n">
        <v>2</v>
      </c>
      <c r="D117" t="inlineStr">
        <is>
          <t>subsystem</t>
        </is>
      </c>
      <c r="F117" t="inlineStr">
        <is>
          <t>Induction (primary), vacuum ISM, RF; RES/COMB alternates; flux prep from SALT_FEED.</t>
        </is>
      </c>
      <c r="G117" t="n">
        <v>6</v>
      </c>
      <c r="H117" s="5" t="n">
        <v>1.0354</v>
      </c>
      <c r="I117" t="n">
        <v>6</v>
      </c>
      <c r="J117" t="inlineStr">
        <is>
          <t>present</t>
        </is>
      </c>
    </row>
    <row r="118">
      <c r="A118" t="inlineStr">
        <is>
          <t>FOUNDRY.melt-and-cast-train.melt.COMB_HEAT</t>
        </is>
      </c>
      <c r="B118" t="inlineStr">
        <is>
          <t>FOUNDRY.melt-and-cast-train.melt</t>
        </is>
      </c>
      <c r="C118" t="n">
        <v>3</v>
      </c>
      <c r="D118" t="inlineStr">
        <is>
          <t>unit</t>
        </is>
      </c>
      <c r="E118" t="inlineStr">
        <is>
          <t>COMB_HEAT</t>
        </is>
      </c>
      <c r="G118" t="n">
        <v>1</v>
      </c>
      <c r="H118" s="5" t="n">
        <v>0.05</v>
      </c>
      <c r="I118" t="n">
        <v>1</v>
      </c>
      <c r="J118" t="inlineStr">
        <is>
          <t>present</t>
        </is>
      </c>
    </row>
    <row r="119">
      <c r="A119" t="inlineStr">
        <is>
          <t>FOUNDRY.melt-and-cast-train.melt.FLUX_PREP</t>
        </is>
      </c>
      <c r="B119" t="inlineStr">
        <is>
          <t>FOUNDRY.melt-and-cast-train.melt</t>
        </is>
      </c>
      <c r="C119" t="n">
        <v>3</v>
      </c>
      <c r="D119" t="inlineStr">
        <is>
          <t>unit</t>
        </is>
      </c>
      <c r="E119" t="inlineStr">
        <is>
          <t>FLUX_PREP</t>
        </is>
      </c>
      <c r="G119" t="n">
        <v>1</v>
      </c>
      <c r="H119" s="5" t="n">
        <v>0.1</v>
      </c>
      <c r="I119" t="n">
        <v>1</v>
      </c>
      <c r="J119" t="inlineStr">
        <is>
          <t>present</t>
        </is>
      </c>
    </row>
    <row r="120">
      <c r="A120" t="inlineStr">
        <is>
          <t>FOUNDRY.melt-and-cast-train.melt.IND_MELT</t>
        </is>
      </c>
      <c r="B120" t="inlineStr">
        <is>
          <t>FOUNDRY.melt-and-cast-train.melt</t>
        </is>
      </c>
      <c r="C120" t="n">
        <v>3</v>
      </c>
      <c r="D120" t="inlineStr">
        <is>
          <t>unit</t>
        </is>
      </c>
      <c r="E120" t="inlineStr">
        <is>
          <t>IND_MELT</t>
        </is>
      </c>
      <c r="G120" t="n">
        <v>1</v>
      </c>
      <c r="H120" s="5" t="n">
        <v>0.8854</v>
      </c>
      <c r="I120" t="n">
        <v>1</v>
      </c>
      <c r="J120" t="inlineStr">
        <is>
          <t>present</t>
        </is>
      </c>
    </row>
    <row r="121">
      <c r="A121" t="inlineStr">
        <is>
          <t>FOUNDRY.melt-and-cast-train.melt.RES_HEAT</t>
        </is>
      </c>
      <c r="B121" t="inlineStr">
        <is>
          <t>FOUNDRY.melt-and-cast-train.melt</t>
        </is>
      </c>
      <c r="C121" t="n">
        <v>3</v>
      </c>
      <c r="D121" t="inlineStr">
        <is>
          <t>unit</t>
        </is>
      </c>
      <c r="E121" t="inlineStr">
        <is>
          <t>RES_HEAT</t>
        </is>
      </c>
      <c r="G121" t="n">
        <v>1</v>
      </c>
      <c r="H121" s="5" t="n">
        <v>0</v>
      </c>
      <c r="I121" t="n">
        <v>1</v>
      </c>
      <c r="J121" t="inlineStr">
        <is>
          <t>present</t>
        </is>
      </c>
    </row>
    <row r="122">
      <c r="A122" t="inlineStr">
        <is>
          <t>FOUNDRY.melt-and-cast-train.melt.RF_HEAT</t>
        </is>
      </c>
      <c r="B122" t="inlineStr">
        <is>
          <t>FOUNDRY.melt-and-cast-train.melt</t>
        </is>
      </c>
      <c r="C122" t="n">
        <v>3</v>
      </c>
      <c r="D122" t="inlineStr">
        <is>
          <t>unit</t>
        </is>
      </c>
      <c r="E122" t="inlineStr">
        <is>
          <t>RF_HEAT</t>
        </is>
      </c>
      <c r="G122" t="n">
        <v>1</v>
      </c>
      <c r="H122" s="5" t="n">
        <v>0</v>
      </c>
      <c r="I122" t="n">
        <v>1</v>
      </c>
      <c r="J122" t="inlineStr">
        <is>
          <t>present</t>
        </is>
      </c>
    </row>
    <row r="123">
      <c r="A123" t="inlineStr">
        <is>
          <t>FOUNDRY.melt-and-cast-train.melt.VAC_IND</t>
        </is>
      </c>
      <c r="B123" t="inlineStr">
        <is>
          <t>FOUNDRY.melt-and-cast-train.melt</t>
        </is>
      </c>
      <c r="C123" t="n">
        <v>3</v>
      </c>
      <c r="D123" t="inlineStr">
        <is>
          <t>unit</t>
        </is>
      </c>
      <c r="E123" t="inlineStr">
        <is>
          <t>VAC_IND</t>
        </is>
      </c>
      <c r="G123" t="n">
        <v>1</v>
      </c>
      <c r="H123" s="5" t="n">
        <v>0</v>
      </c>
      <c r="I123" t="n">
        <v>1</v>
      </c>
      <c r="J123" t="inlineStr">
        <is>
          <t>present</t>
        </is>
      </c>
    </row>
    <row r="124">
      <c r="A124" t="inlineStr">
        <is>
          <t>FOUNDRY.pot-cell-train</t>
        </is>
      </c>
      <c r="B124" t="inlineStr">
        <is>
          <t>FOUNDRY</t>
        </is>
      </c>
      <c r="C124" t="n">
        <v>1</v>
      </c>
      <c r="D124" t="inlineStr">
        <is>
          <t>train</t>
        </is>
      </c>
      <c r="F124" t="inlineStr">
        <is>
          <t>STANDBY. Reactive-metal pots (Al/Ca/Cr/Mg), Kroll Ti cell (FFC cold spare), molten-salt Mo cell; Cl2 / anode-gas returns to DIGESTER.CRU; metals to IND_MELT.</t>
        </is>
      </c>
      <c r="G124" t="n">
        <v>6</v>
      </c>
      <c r="H124" s="5" t="n">
        <v>6.8915</v>
      </c>
      <c r="I124" t="n">
        <v>6</v>
      </c>
      <c r="J124" t="inlineStr">
        <is>
          <t>present</t>
        </is>
      </c>
    </row>
    <row r="125">
      <c r="A125" t="inlineStr">
        <is>
          <t>FOUNDRY.pot-cell-train.AL_POT</t>
        </is>
      </c>
      <c r="B125" t="inlineStr">
        <is>
          <t>FOUNDRY.pot-cell-train</t>
        </is>
      </c>
      <c r="C125" t="n">
        <v>2</v>
      </c>
      <c r="D125" t="inlineStr">
        <is>
          <t>unit</t>
        </is>
      </c>
      <c r="E125" t="inlineStr">
        <is>
          <t>AL_POT</t>
        </is>
      </c>
      <c r="G125" t="n">
        <v>1</v>
      </c>
      <c r="H125" s="5" t="n">
        <v>5.6578</v>
      </c>
      <c r="I125" t="n">
        <v>1</v>
      </c>
      <c r="J125" t="inlineStr">
        <is>
          <t>present</t>
        </is>
      </c>
    </row>
    <row r="126">
      <c r="A126" t="inlineStr">
        <is>
          <t>FOUNDRY.pot-cell-train.CA_POT</t>
        </is>
      </c>
      <c r="B126" t="inlineStr">
        <is>
          <t>FOUNDRY.pot-cell-train</t>
        </is>
      </c>
      <c r="C126" t="n">
        <v>2</v>
      </c>
      <c r="D126" t="inlineStr">
        <is>
          <t>unit</t>
        </is>
      </c>
      <c r="E126" t="inlineStr">
        <is>
          <t>CA_POT</t>
        </is>
      </c>
      <c r="G126" t="n">
        <v>1</v>
      </c>
      <c r="H126" s="5" t="n">
        <v>0.1221</v>
      </c>
      <c r="I126" t="n">
        <v>1</v>
      </c>
      <c r="J126" t="inlineStr">
        <is>
          <t>present</t>
        </is>
      </c>
    </row>
    <row r="127">
      <c r="A127" t="inlineStr">
        <is>
          <t>FOUNDRY.pot-cell-train.CR_CELL</t>
        </is>
      </c>
      <c r="B127" t="inlineStr">
        <is>
          <t>FOUNDRY.pot-cell-train</t>
        </is>
      </c>
      <c r="C127" t="n">
        <v>2</v>
      </c>
      <c r="D127" t="inlineStr">
        <is>
          <t>unit</t>
        </is>
      </c>
      <c r="E127" t="inlineStr">
        <is>
          <t>CR_CELL</t>
        </is>
      </c>
      <c r="G127" t="n">
        <v>1</v>
      </c>
      <c r="H127" s="5" t="n">
        <v>0.16</v>
      </c>
      <c r="I127" t="n">
        <v>1</v>
      </c>
      <c r="J127" t="inlineStr">
        <is>
          <t>present</t>
        </is>
      </c>
    </row>
    <row r="128">
      <c r="A128" t="inlineStr">
        <is>
          <t>FOUNDRY.pot-cell-train.MG_POT</t>
        </is>
      </c>
      <c r="B128" t="inlineStr">
        <is>
          <t>FOUNDRY.pot-cell-train</t>
        </is>
      </c>
      <c r="C128" t="n">
        <v>2</v>
      </c>
      <c r="D128" t="inlineStr">
        <is>
          <t>unit</t>
        </is>
      </c>
      <c r="E128" t="inlineStr">
        <is>
          <t>MG_POT</t>
        </is>
      </c>
      <c r="G128" t="n">
        <v>1</v>
      </c>
      <c r="H128" s="5" t="n">
        <v>0.3375</v>
      </c>
      <c r="I128" t="n">
        <v>1</v>
      </c>
      <c r="J128" t="inlineStr">
        <is>
          <t>present</t>
        </is>
      </c>
    </row>
    <row r="129">
      <c r="A129" t="inlineStr">
        <is>
          <t>FOUNDRY.pot-cell-train.MO_CELL</t>
        </is>
      </c>
      <c r="B129" t="inlineStr">
        <is>
          <t>FOUNDRY.pot-cell-train</t>
        </is>
      </c>
      <c r="C129" t="n">
        <v>2</v>
      </c>
      <c r="D129" t="inlineStr">
        <is>
          <t>unit</t>
        </is>
      </c>
      <c r="E129" t="inlineStr">
        <is>
          <t>MO_CELL</t>
        </is>
      </c>
      <c r="G129" t="n">
        <v>1</v>
      </c>
      <c r="H129" s="5" t="n">
        <v>0.1141</v>
      </c>
      <c r="I129" t="n">
        <v>1</v>
      </c>
      <c r="J129" t="inlineStr">
        <is>
          <t>present</t>
        </is>
      </c>
    </row>
    <row r="130">
      <c r="A130" t="inlineStr">
        <is>
          <t>FOUNDRY.pot-cell-train.TI_CELL</t>
        </is>
      </c>
      <c r="B130" t="inlineStr">
        <is>
          <t>FOUNDRY.pot-cell-train</t>
        </is>
      </c>
      <c r="C130" t="n">
        <v>2</v>
      </c>
      <c r="D130" t="inlineStr">
        <is>
          <t>unit</t>
        </is>
      </c>
      <c r="E130" t="inlineStr">
        <is>
          <t>TI_CELL</t>
        </is>
      </c>
      <c r="G130" t="n">
        <v>1</v>
      </c>
      <c r="H130" s="5" t="n">
        <v>0.5</v>
      </c>
      <c r="I130" t="n">
        <v>1</v>
      </c>
      <c r="J130" t="inlineStr">
        <is>
          <t>present</t>
        </is>
      </c>
    </row>
    <row r="131">
      <c r="A131" t="inlineStr">
        <is>
          <t>GAS</t>
        </is>
      </c>
      <c r="C131" t="n">
        <v>0</v>
      </c>
      <c r="D131" t="inlineStr">
        <is>
          <t>root</t>
        </is>
      </c>
      <c r="F131" t="inlineStr">
        <is>
          <t>Process (Mass transform) — scrub / vent closure; secondary Utility.</t>
        </is>
      </c>
      <c r="G131" t="n">
        <v>10</v>
      </c>
      <c r="H131" s="5" t="n">
        <v>2.2836</v>
      </c>
      <c r="I131" t="n">
        <v>4</v>
      </c>
      <c r="J131" t="inlineStr">
        <is>
          <t>present</t>
        </is>
      </c>
    </row>
    <row r="132">
      <c r="A132" t="inlineStr">
        <is>
          <t>GAS.scrubbing-headers-train</t>
        </is>
      </c>
      <c r="B132" t="inlineStr">
        <is>
          <t>GAS</t>
        </is>
      </c>
      <c r="C132" t="n">
        <v>1</v>
      </c>
      <c r="D132" t="inlineStr">
        <is>
          <t>train</t>
        </is>
      </c>
      <c r="F132" t="inlineStr">
        <is>
          <t>House acid-gas polishing and alkaline scrub, NOx scrub, baghouse, flue KO and afterburner flue junction; H2 drying and the H2/O2 headers with relief.</t>
        </is>
      </c>
      <c r="G132" t="n">
        <v>10</v>
      </c>
      <c r="H132" s="5" t="n">
        <v>2.2836</v>
      </c>
      <c r="I132" t="n">
        <v>4</v>
      </c>
      <c r="J132" t="inlineStr">
        <is>
          <t>present</t>
        </is>
      </c>
    </row>
    <row r="133">
      <c r="A133" t="inlineStr">
        <is>
          <t>GAS.scrubbing-headers-train.gas-headers</t>
        </is>
      </c>
      <c r="B133" t="inlineStr">
        <is>
          <t>GAS.scrubbing-headers-train</t>
        </is>
      </c>
      <c r="C133" t="n">
        <v>2</v>
      </c>
      <c r="D133" t="inlineStr">
        <is>
          <t>subsystem</t>
        </is>
      </c>
      <c r="F133" t="inlineStr">
        <is>
          <t>H2 dryer into the H2 header with relief; O2 header to consumers and product.</t>
        </is>
      </c>
      <c r="G133" t="n">
        <v>4</v>
      </c>
      <c r="H133" s="5" t="n">
        <v>0.0205</v>
      </c>
      <c r="I133" t="n">
        <v>1</v>
      </c>
      <c r="J133" t="inlineStr">
        <is>
          <t>present</t>
        </is>
      </c>
    </row>
    <row r="134">
      <c r="A134" t="inlineStr">
        <is>
          <t>GAS.scrubbing-headers-train.gas-headers.H2_DRYER</t>
        </is>
      </c>
      <c r="B134" t="inlineStr">
        <is>
          <t>GAS.scrubbing-headers-train.gas-headers</t>
        </is>
      </c>
      <c r="C134" t="n">
        <v>3</v>
      </c>
      <c r="D134" t="inlineStr">
        <is>
          <t>unit</t>
        </is>
      </c>
      <c r="E134" t="inlineStr">
        <is>
          <t>H2_DRYER</t>
        </is>
      </c>
      <c r="G134" t="n">
        <v>1</v>
      </c>
      <c r="H134" s="5" t="n">
        <v>0.0205</v>
      </c>
      <c r="I134" t="n">
        <v>1</v>
      </c>
      <c r="J134" t="inlineStr">
        <is>
          <t>present</t>
        </is>
      </c>
    </row>
    <row r="135">
      <c r="A135" t="inlineStr">
        <is>
          <t>GAS.scrubbing-headers-train.gas-headers.HDR_H2</t>
        </is>
      </c>
      <c r="B135" t="inlineStr">
        <is>
          <t>GAS.scrubbing-headers-train.gas-headers</t>
        </is>
      </c>
      <c r="C135" t="n">
        <v>3</v>
      </c>
      <c r="D135" t="inlineStr">
        <is>
          <t>unit</t>
        </is>
      </c>
      <c r="E135" t="inlineStr">
        <is>
          <t>HDR_H2</t>
        </is>
      </c>
      <c r="G135" t="n">
        <v>1</v>
      </c>
      <c r="H135" s="5" t="n">
        <v>0</v>
      </c>
      <c r="I135" t="n">
        <v>0</v>
      </c>
      <c r="J135" t="inlineStr">
        <is>
          <t>present</t>
        </is>
      </c>
    </row>
    <row r="136">
      <c r="A136" t="inlineStr">
        <is>
          <t>GAS.scrubbing-headers-train.gas-headers.HDR_O2</t>
        </is>
      </c>
      <c r="B136" t="inlineStr">
        <is>
          <t>GAS.scrubbing-headers-train.gas-headers</t>
        </is>
      </c>
      <c r="C136" t="n">
        <v>3</v>
      </c>
      <c r="D136" t="inlineStr">
        <is>
          <t>unit</t>
        </is>
      </c>
      <c r="E136" t="inlineStr">
        <is>
          <t>HDR_O2</t>
        </is>
      </c>
      <c r="G136" t="n">
        <v>1</v>
      </c>
      <c r="H136" s="5" t="n">
        <v>0</v>
      </c>
      <c r="I136" t="n">
        <v>0</v>
      </c>
      <c r="J136" t="inlineStr">
        <is>
          <t>present</t>
        </is>
      </c>
    </row>
    <row r="137">
      <c r="A137" t="inlineStr">
        <is>
          <t>GAS.scrubbing-headers-train.gas-headers.RELIEF_H2</t>
        </is>
      </c>
      <c r="B137" t="inlineStr">
        <is>
          <t>GAS.scrubbing-headers-train.gas-headers</t>
        </is>
      </c>
      <c r="C137" t="n">
        <v>3</v>
      </c>
      <c r="D137" t="inlineStr">
        <is>
          <t>unit</t>
        </is>
      </c>
      <c r="E137" t="inlineStr">
        <is>
          <t>RELIEF_H2</t>
        </is>
      </c>
      <c r="G137" t="n">
        <v>1</v>
      </c>
      <c r="H137" s="5" t="n">
        <v>0</v>
      </c>
      <c r="I137" t="n">
        <v>0</v>
      </c>
      <c r="J137" t="inlineStr">
        <is>
          <t>present</t>
        </is>
      </c>
    </row>
    <row r="138">
      <c r="A138" t="inlineStr">
        <is>
          <t>GAS.scrubbing-headers-train.scrubbing</t>
        </is>
      </c>
      <c r="B138" t="inlineStr">
        <is>
          <t>GAS.scrubbing-headers-train</t>
        </is>
      </c>
      <c r="C138" t="n">
        <v>2</v>
      </c>
      <c r="D138" t="inlineStr">
        <is>
          <t>subsystem</t>
        </is>
      </c>
      <c r="F138" t="inlineStr">
        <is>
          <t>Acid-gas polish and alkaline scrub pair, NOx scrub, baghouse, flue KO, afterburner flue junction.</t>
        </is>
      </c>
      <c r="G138" t="n">
        <v>6</v>
      </c>
      <c r="H138" s="5" t="n">
        <v>2.2631</v>
      </c>
      <c r="I138" t="n">
        <v>3</v>
      </c>
      <c r="J138" t="inlineStr">
        <is>
          <t>present</t>
        </is>
      </c>
    </row>
    <row r="139">
      <c r="A139" t="inlineStr">
        <is>
          <t>GAS.scrubbing-headers-train.scrubbing.ACID_POLISH_SCRUB</t>
        </is>
      </c>
      <c r="B139" t="inlineStr">
        <is>
          <t>GAS.scrubbing-headers-train.scrubbing</t>
        </is>
      </c>
      <c r="C139" t="n">
        <v>3</v>
      </c>
      <c r="D139" t="inlineStr">
        <is>
          <t>unit</t>
        </is>
      </c>
      <c r="E139" t="inlineStr">
        <is>
          <t>ACID_POLISH_SCRUB</t>
        </is>
      </c>
      <c r="G139" t="n">
        <v>1</v>
      </c>
      <c r="H139" s="5" t="n">
        <v>1.1123</v>
      </c>
      <c r="I139" t="n">
        <v>1</v>
      </c>
      <c r="J139" t="inlineStr">
        <is>
          <t>present</t>
        </is>
      </c>
    </row>
    <row r="140">
      <c r="A140" t="inlineStr">
        <is>
          <t>GAS.scrubbing-headers-train.scrubbing.AFTERBURNER_FLUE</t>
        </is>
      </c>
      <c r="B140" t="inlineStr">
        <is>
          <t>GAS.scrubbing-headers-train.scrubbing</t>
        </is>
      </c>
      <c r="C140" t="n">
        <v>3</v>
      </c>
      <c r="D140" t="inlineStr">
        <is>
          <t>unit</t>
        </is>
      </c>
      <c r="E140" t="inlineStr">
        <is>
          <t>AFTERBURNER_FLUE</t>
        </is>
      </c>
      <c r="G140" t="n">
        <v>1</v>
      </c>
      <c r="H140" s="5" t="n">
        <v>0</v>
      </c>
      <c r="I140" t="n">
        <v>0</v>
      </c>
      <c r="J140" t="inlineStr">
        <is>
          <t>present</t>
        </is>
      </c>
    </row>
    <row r="141">
      <c r="A141" t="inlineStr">
        <is>
          <t>GAS.scrubbing-headers-train.scrubbing.ALK_SCRUBBER</t>
        </is>
      </c>
      <c r="B141" t="inlineStr">
        <is>
          <t>GAS.scrubbing-headers-train.scrubbing</t>
        </is>
      </c>
      <c r="C141" t="n">
        <v>3</v>
      </c>
      <c r="D141" t="inlineStr">
        <is>
          <t>unit</t>
        </is>
      </c>
      <c r="E141" t="inlineStr">
        <is>
          <t>ALK_SCRUBBER</t>
        </is>
      </c>
      <c r="G141" t="n">
        <v>1</v>
      </c>
      <c r="H141" s="5" t="n">
        <v>1.1123</v>
      </c>
      <c r="I141" t="n">
        <v>1</v>
      </c>
      <c r="J141" t="inlineStr">
        <is>
          <t>present</t>
        </is>
      </c>
    </row>
    <row r="142">
      <c r="A142" t="inlineStr">
        <is>
          <t>GAS.scrubbing-headers-train.scrubbing.BAGHOUSE</t>
        </is>
      </c>
      <c r="B142" t="inlineStr">
        <is>
          <t>GAS.scrubbing-headers-train.scrubbing</t>
        </is>
      </c>
      <c r="C142" t="n">
        <v>3</v>
      </c>
      <c r="D142" t="inlineStr">
        <is>
          <t>unit</t>
        </is>
      </c>
      <c r="E142" t="inlineStr">
        <is>
          <t>BAGHOUSE</t>
        </is>
      </c>
      <c r="G142" t="n">
        <v>1</v>
      </c>
      <c r="H142" s="5" t="n">
        <v>0</v>
      </c>
      <c r="I142" t="n">
        <v>0</v>
      </c>
      <c r="J142" t="inlineStr">
        <is>
          <t>present</t>
        </is>
      </c>
    </row>
    <row r="143">
      <c r="A143" t="inlineStr">
        <is>
          <t>GAS.scrubbing-headers-train.scrubbing.FLUE_KO</t>
        </is>
      </c>
      <c r="B143" t="inlineStr">
        <is>
          <t>GAS.scrubbing-headers-train.scrubbing</t>
        </is>
      </c>
      <c r="C143" t="n">
        <v>3</v>
      </c>
      <c r="D143" t="inlineStr">
        <is>
          <t>unit</t>
        </is>
      </c>
      <c r="E143" t="inlineStr">
        <is>
          <t>FLUE_KO</t>
        </is>
      </c>
      <c r="G143" t="n">
        <v>1</v>
      </c>
      <c r="H143" s="5" t="n">
        <v>0</v>
      </c>
      <c r="I143" t="n">
        <v>0</v>
      </c>
      <c r="J143" t="inlineStr">
        <is>
          <t>present</t>
        </is>
      </c>
    </row>
    <row r="144">
      <c r="A144" t="inlineStr">
        <is>
          <t>GAS.scrubbing-headers-train.scrubbing.NOX_SCRUB</t>
        </is>
      </c>
      <c r="B144" t="inlineStr">
        <is>
          <t>GAS.scrubbing-headers-train.scrubbing</t>
        </is>
      </c>
      <c r="C144" t="n">
        <v>3</v>
      </c>
      <c r="D144" t="inlineStr">
        <is>
          <t>unit</t>
        </is>
      </c>
      <c r="E144" t="inlineStr">
        <is>
          <t>NOX_SCRUB</t>
        </is>
      </c>
      <c r="G144" t="n">
        <v>1</v>
      </c>
      <c r="H144" s="5" t="n">
        <v>0.0385</v>
      </c>
      <c r="I144" t="n">
        <v>1</v>
      </c>
      <c r="J144" t="inlineStr">
        <is>
          <t>present</t>
        </is>
      </c>
    </row>
    <row r="145">
      <c r="A145" t="inlineStr">
        <is>
          <t>GEO</t>
        </is>
      </c>
      <c r="C145" t="n">
        <v>0</v>
      </c>
      <c r="D145" t="inlineStr">
        <is>
          <t>root</t>
        </is>
      </c>
      <c r="F145" t="inlineStr">
        <is>
          <t>Utility / header — ground loop HP to Q4; ORC study.</t>
        </is>
      </c>
      <c r="G145" t="n">
        <v>4</v>
      </c>
      <c r="H145" s="5" t="n">
        <v>0.6860000000000001</v>
      </c>
      <c r="I145" t="n">
        <v>1</v>
      </c>
      <c r="J145" t="inlineStr">
        <is>
          <t>placeholder</t>
        </is>
      </c>
    </row>
    <row r="146">
      <c r="A146" t="inlineStr">
        <is>
          <t>GEO.ground-loop-train</t>
        </is>
      </c>
      <c r="B146" t="inlineStr">
        <is>
          <t>GEO</t>
        </is>
      </c>
      <c r="C146" t="n">
        <v>1</v>
      </c>
      <c r="D146" t="inlineStr">
        <is>
          <t>train</t>
        </is>
      </c>
      <c r="F146" t="inlineStr">
        <is>
          <t>Ground heat exchanger and closed loop, heat pump to Q4, ORC study stub (ST-ORC-01).</t>
        </is>
      </c>
      <c r="G146" t="n">
        <v>4</v>
      </c>
      <c r="H146" s="5" t="n">
        <v>0.6860000000000001</v>
      </c>
      <c r="I146" t="n">
        <v>1</v>
      </c>
      <c r="J146" t="inlineStr">
        <is>
          <t>placeholder</t>
        </is>
      </c>
    </row>
    <row r="147">
      <c r="A147" t="inlineStr">
        <is>
          <t>GEO.ground-loop-train.GEO_GHEX</t>
        </is>
      </c>
      <c r="B147" t="inlineStr">
        <is>
          <t>GEO.ground-loop-train</t>
        </is>
      </c>
      <c r="C147" t="n">
        <v>2</v>
      </c>
      <c r="D147" t="inlineStr">
        <is>
          <t>unit</t>
        </is>
      </c>
      <c r="E147" t="inlineStr">
        <is>
          <t>GEO_GHEX</t>
        </is>
      </c>
      <c r="G147" t="n">
        <v>1</v>
      </c>
      <c r="H147" s="5" t="n">
        <v>0</v>
      </c>
      <c r="I147" t="n">
        <v>0</v>
      </c>
      <c r="J147" t="inlineStr">
        <is>
          <t>present</t>
        </is>
      </c>
    </row>
    <row r="148">
      <c r="A148" t="inlineStr">
        <is>
          <t>GEO.ground-loop-train.GEO_HP</t>
        </is>
      </c>
      <c r="B148" t="inlineStr">
        <is>
          <t>GEO.ground-loop-train</t>
        </is>
      </c>
      <c r="C148" t="n">
        <v>2</v>
      </c>
      <c r="D148" t="inlineStr">
        <is>
          <t>unit</t>
        </is>
      </c>
      <c r="E148" t="inlineStr">
        <is>
          <t>GEO_HP</t>
        </is>
      </c>
      <c r="G148" t="n">
        <v>1</v>
      </c>
      <c r="H148" s="5" t="n">
        <v>0.6860000000000001</v>
      </c>
      <c r="I148" t="n">
        <v>1</v>
      </c>
      <c r="J148" t="inlineStr">
        <is>
          <t>present</t>
        </is>
      </c>
    </row>
    <row r="149">
      <c r="A149" t="inlineStr">
        <is>
          <t>GEO.ground-loop-train.GEO_HP_CLOSED_LOOP</t>
        </is>
      </c>
      <c r="B149" t="inlineStr">
        <is>
          <t>GEO.ground-loop-train</t>
        </is>
      </c>
      <c r="C149" t="n">
        <v>2</v>
      </c>
      <c r="D149" t="inlineStr">
        <is>
          <t>unit</t>
        </is>
      </c>
      <c r="E149" t="inlineStr">
        <is>
          <t>GEO_HP_CLOSED_LOOP</t>
        </is>
      </c>
      <c r="G149" t="n">
        <v>1</v>
      </c>
      <c r="H149" s="5" t="n">
        <v>0</v>
      </c>
      <c r="I149" t="n">
        <v>0</v>
      </c>
      <c r="J149" t="inlineStr">
        <is>
          <t>present</t>
        </is>
      </c>
    </row>
    <row r="150">
      <c r="A150" t="inlineStr">
        <is>
          <t>GEO.ground-loop-train.GEO_ORC</t>
        </is>
      </c>
      <c r="B150" t="inlineStr">
        <is>
          <t>GEO.ground-loop-train</t>
        </is>
      </c>
      <c r="C150" t="n">
        <v>2</v>
      </c>
      <c r="D150" t="inlineStr">
        <is>
          <t>unit</t>
        </is>
      </c>
      <c r="E150" t="inlineStr">
        <is>
          <t>GEO_ORC</t>
        </is>
      </c>
      <c r="G150" t="n">
        <v>1</v>
      </c>
      <c r="H150" s="5" t="n">
        <v>0</v>
      </c>
      <c r="I150" t="n">
        <v>0</v>
      </c>
      <c r="J150" t="inlineStr">
        <is>
          <t>placeholder</t>
        </is>
      </c>
    </row>
    <row r="151">
      <c r="A151" t="inlineStr">
        <is>
          <t>GLASS</t>
        </is>
      </c>
      <c r="C151" t="n">
        <v>0</v>
      </c>
      <c r="D151" t="inlineStr">
        <is>
          <t>root</t>
        </is>
      </c>
      <c r="F151" t="inlineStr">
        <is>
          <t>Process (Mass transform) — silicate / ceramic; materials surplus path.</t>
        </is>
      </c>
      <c r="G151" t="n">
        <v>5</v>
      </c>
      <c r="H151" s="5" t="n">
        <v>0.09</v>
      </c>
      <c r="I151" t="n">
        <v>1</v>
      </c>
      <c r="J151" t="inlineStr">
        <is>
          <t>present</t>
        </is>
      </c>
    </row>
    <row r="152">
      <c r="A152" t="inlineStr">
        <is>
          <t>GLASS.glass-recycle-train</t>
        </is>
      </c>
      <c r="B152" t="inlineStr">
        <is>
          <t>GLASS</t>
        </is>
      </c>
      <c r="C152" t="n">
        <v>1</v>
      </c>
      <c r="D152" t="inlineStr">
        <is>
          <t>train</t>
        </is>
      </c>
      <c r="F152" t="inlineStr">
        <is>
          <t>Cullet loop: rinse, mill, burnout, NaOH digest; SI_REDUCE carbothermic silicon on pyro char.</t>
        </is>
      </c>
      <c r="G152" t="n">
        <v>5</v>
      </c>
      <c r="H152" s="5" t="n">
        <v>0.09</v>
      </c>
      <c r="I152" t="n">
        <v>1</v>
      </c>
      <c r="J152" t="inlineStr">
        <is>
          <t>present</t>
        </is>
      </c>
    </row>
    <row r="153">
      <c r="A153" t="inlineStr">
        <is>
          <t>GLASS.glass-recycle-train.SI_REDUCE</t>
        </is>
      </c>
      <c r="B153" t="inlineStr">
        <is>
          <t>GLASS.glass-recycle-train</t>
        </is>
      </c>
      <c r="C153" t="n">
        <v>2</v>
      </c>
      <c r="D153" t="inlineStr">
        <is>
          <t>unit</t>
        </is>
      </c>
      <c r="E153" t="inlineStr">
        <is>
          <t>SI_REDUCE</t>
        </is>
      </c>
      <c r="G153" t="n">
        <v>1</v>
      </c>
      <c r="H153" s="5" t="n">
        <v>0</v>
      </c>
      <c r="I153" t="n">
        <v>0</v>
      </c>
      <c r="J153" t="inlineStr">
        <is>
          <t>present</t>
        </is>
      </c>
    </row>
    <row r="154">
      <c r="A154" t="inlineStr">
        <is>
          <t>GLASS.glass-recycle-train.cullet-loop</t>
        </is>
      </c>
      <c r="B154" t="inlineStr">
        <is>
          <t>GLASS.glass-recycle-train</t>
        </is>
      </c>
      <c r="C154" t="n">
        <v>2</v>
      </c>
      <c r="D154" t="inlineStr">
        <is>
          <t>subsystem</t>
        </is>
      </c>
      <c r="F154" t="inlineStr">
        <is>
          <t>Rinse, mill, burnout, NaOH digest of cullet and spent investment shell.</t>
        </is>
      </c>
      <c r="G154" t="n">
        <v>4</v>
      </c>
      <c r="H154" s="5" t="n">
        <v>0.09</v>
      </c>
      <c r="I154" t="n">
        <v>1</v>
      </c>
      <c r="J154" t="inlineStr">
        <is>
          <t>present</t>
        </is>
      </c>
    </row>
    <row r="155">
      <c r="A155" t="inlineStr">
        <is>
          <t>GLASS.glass-recycle-train.cullet-loop.GLASS_BURNOUT</t>
        </is>
      </c>
      <c r="B155" t="inlineStr">
        <is>
          <t>GLASS.glass-recycle-train.cullet-loop</t>
        </is>
      </c>
      <c r="C155" t="n">
        <v>3</v>
      </c>
      <c r="D155" t="inlineStr">
        <is>
          <t>unit</t>
        </is>
      </c>
      <c r="E155" t="inlineStr">
        <is>
          <t>GLASS_BURNOUT</t>
        </is>
      </c>
      <c r="G155" t="n">
        <v>1</v>
      </c>
      <c r="H155" s="5" t="n">
        <v>0</v>
      </c>
      <c r="I155" t="n">
        <v>0</v>
      </c>
      <c r="J155" t="inlineStr">
        <is>
          <t>present</t>
        </is>
      </c>
    </row>
    <row r="156">
      <c r="A156" t="inlineStr">
        <is>
          <t>GLASS.glass-recycle-train.cullet-loop.GLASS_DIGEST</t>
        </is>
      </c>
      <c r="B156" t="inlineStr">
        <is>
          <t>GLASS.glass-recycle-train.cullet-loop</t>
        </is>
      </c>
      <c r="C156" t="n">
        <v>3</v>
      </c>
      <c r="D156" t="inlineStr">
        <is>
          <t>unit</t>
        </is>
      </c>
      <c r="E156" t="inlineStr">
        <is>
          <t>GLASS_DIGEST</t>
        </is>
      </c>
      <c r="G156" t="n">
        <v>1</v>
      </c>
      <c r="H156" s="5" t="n">
        <v>0.09</v>
      </c>
      <c r="I156" t="n">
        <v>1</v>
      </c>
      <c r="J156" t="inlineStr">
        <is>
          <t>present</t>
        </is>
      </c>
    </row>
    <row r="157">
      <c r="A157" t="inlineStr">
        <is>
          <t>GLASS.glass-recycle-train.cullet-loop.GLASS_MILL</t>
        </is>
      </c>
      <c r="B157" t="inlineStr">
        <is>
          <t>GLASS.glass-recycle-train.cullet-loop</t>
        </is>
      </c>
      <c r="C157" t="n">
        <v>3</v>
      </c>
      <c r="D157" t="inlineStr">
        <is>
          <t>unit</t>
        </is>
      </c>
      <c r="E157" t="inlineStr">
        <is>
          <t>GLASS_MILL</t>
        </is>
      </c>
      <c r="G157" t="n">
        <v>1</v>
      </c>
      <c r="H157" s="5" t="n">
        <v>0</v>
      </c>
      <c r="I157" t="n">
        <v>0</v>
      </c>
      <c r="J157" t="inlineStr">
        <is>
          <t>present</t>
        </is>
      </c>
    </row>
    <row r="158">
      <c r="A158" t="inlineStr">
        <is>
          <t>GLASS.glass-recycle-train.cullet-loop.GLASS_RINSE</t>
        </is>
      </c>
      <c r="B158" t="inlineStr">
        <is>
          <t>GLASS.glass-recycle-train.cullet-loop</t>
        </is>
      </c>
      <c r="C158" t="n">
        <v>3</v>
      </c>
      <c r="D158" t="inlineStr">
        <is>
          <t>unit</t>
        </is>
      </c>
      <c r="E158" t="inlineStr">
        <is>
          <t>GLASS_RINSE</t>
        </is>
      </c>
      <c r="G158" t="n">
        <v>1</v>
      </c>
      <c r="H158" s="5" t="n">
        <v>0</v>
      </c>
      <c r="I158" t="n">
        <v>0</v>
      </c>
      <c r="J158" t="inlineStr">
        <is>
          <t>present</t>
        </is>
      </c>
    </row>
    <row r="159">
      <c r="A159" t="inlineStr">
        <is>
          <t>HAB</t>
        </is>
      </c>
      <c r="C159" t="n">
        <v>0</v>
      </c>
      <c r="D159" t="inlineStr">
        <is>
          <t>root</t>
        </is>
      </c>
      <c r="F159" t="inlineStr">
        <is>
          <t>Life support / habitat — habitation and life support.</t>
        </is>
      </c>
      <c r="G159" t="n">
        <v>3</v>
      </c>
      <c r="H159" s="5" t="n">
        <v>1.157</v>
      </c>
      <c r="I159" t="n">
        <v>1</v>
      </c>
      <c r="J159" t="inlineStr">
        <is>
          <t>present</t>
        </is>
      </c>
    </row>
    <row r="160">
      <c r="A160" t="inlineStr">
        <is>
          <t>HAB.life-support-train</t>
        </is>
      </c>
      <c r="B160" t="inlineStr">
        <is>
          <t>HAB</t>
        </is>
      </c>
      <c r="C160" t="n">
        <v>1</v>
      </c>
      <c r="D160" t="inlineStr">
        <is>
          <t>train</t>
        </is>
      </c>
      <c r="F160" t="inlineStr">
        <is>
          <t>Habitation module with the CO2 and N2 headers.</t>
        </is>
      </c>
      <c r="G160" t="n">
        <v>3</v>
      </c>
      <c r="H160" s="5" t="n">
        <v>1.157</v>
      </c>
      <c r="I160" t="n">
        <v>1</v>
      </c>
      <c r="J160" t="inlineStr">
        <is>
          <t>present</t>
        </is>
      </c>
    </row>
    <row r="161">
      <c r="A161" t="inlineStr">
        <is>
          <t>HAB.life-support-train.HABITATION</t>
        </is>
      </c>
      <c r="B161" t="inlineStr">
        <is>
          <t>HAB.life-support-train</t>
        </is>
      </c>
      <c r="C161" t="n">
        <v>2</v>
      </c>
      <c r="D161" t="inlineStr">
        <is>
          <t>unit</t>
        </is>
      </c>
      <c r="E161" t="inlineStr">
        <is>
          <t>HABITATION</t>
        </is>
      </c>
      <c r="G161" t="n">
        <v>1</v>
      </c>
      <c r="H161" s="5" t="n">
        <v>1.157</v>
      </c>
      <c r="I161" t="n">
        <v>1</v>
      </c>
      <c r="J161" t="inlineStr">
        <is>
          <t>present</t>
        </is>
      </c>
    </row>
    <row r="162">
      <c r="A162" t="inlineStr">
        <is>
          <t>HAB.life-support-train.HDR_CO2</t>
        </is>
      </c>
      <c r="B162" t="inlineStr">
        <is>
          <t>HAB.life-support-train</t>
        </is>
      </c>
      <c r="C162" t="n">
        <v>2</v>
      </c>
      <c r="D162" t="inlineStr">
        <is>
          <t>unit</t>
        </is>
      </c>
      <c r="E162" t="inlineStr">
        <is>
          <t>HDR_CO2</t>
        </is>
      </c>
      <c r="G162" t="n">
        <v>1</v>
      </c>
      <c r="H162" s="5" t="n">
        <v>0</v>
      </c>
      <c r="I162" t="n">
        <v>0</v>
      </c>
      <c r="J162" t="inlineStr">
        <is>
          <t>present</t>
        </is>
      </c>
    </row>
    <row r="163">
      <c r="A163" t="inlineStr">
        <is>
          <t>HAB.life-support-train.HDR_N2</t>
        </is>
      </c>
      <c r="B163" t="inlineStr">
        <is>
          <t>HAB.life-support-train</t>
        </is>
      </c>
      <c r="C163" t="n">
        <v>2</v>
      </c>
      <c r="D163" t="inlineStr">
        <is>
          <t>unit</t>
        </is>
      </c>
      <c r="E163" t="inlineStr">
        <is>
          <t>HDR_N2</t>
        </is>
      </c>
      <c r="G163" t="n">
        <v>1</v>
      </c>
      <c r="H163" s="5" t="n">
        <v>0</v>
      </c>
      <c r="I163" t="n">
        <v>0</v>
      </c>
      <c r="J163" t="inlineStr">
        <is>
          <t>present</t>
        </is>
      </c>
    </row>
    <row r="164">
      <c r="A164" t="inlineStr">
        <is>
          <t>HEAT</t>
        </is>
      </c>
      <c r="C164" t="n">
        <v>0</v>
      </c>
      <c r="D164" t="inlineStr">
        <is>
          <t>root</t>
        </is>
      </c>
      <c r="F164" t="inlineStr">
        <is>
          <t>Utility / header — heat ladder batteries Q1-Q4, Q4_BUS, Q4 services.</t>
        </is>
      </c>
      <c r="G164" t="n">
        <v>12</v>
      </c>
      <c r="H164" s="5" t="n">
        <v>0</v>
      </c>
      <c r="I164" t="n">
        <v>0</v>
      </c>
      <c r="J164" t="inlineStr">
        <is>
          <t>present</t>
        </is>
      </c>
    </row>
    <row r="165">
      <c r="A165" t="inlineStr">
        <is>
          <t>HEAT.ladder-train</t>
        </is>
      </c>
      <c r="B165" t="inlineStr">
        <is>
          <t>HEAT</t>
        </is>
      </c>
      <c r="C165" t="n">
        <v>1</v>
      </c>
      <c r="D165" t="inlineStr">
        <is>
          <t>train</t>
        </is>
      </c>
      <c r="F165" t="inlineStr">
        <is>
          <t>Dual-diode ladder Q1-Q4 A/B stores with the Q4_BUS header (AQS-HEAT-LADDER-001).</t>
        </is>
      </c>
      <c r="G165" t="n">
        <v>12</v>
      </c>
      <c r="H165" s="5" t="n">
        <v>0</v>
      </c>
      <c r="I165" t="n">
        <v>0</v>
      </c>
      <c r="J165" t="inlineStr">
        <is>
          <t>present</t>
        </is>
      </c>
    </row>
    <row r="166">
      <c r="A166" t="inlineStr">
        <is>
          <t>HEAT.ladder-train.q4-services</t>
        </is>
      </c>
      <c r="B166" t="inlineStr">
        <is>
          <t>HEAT.ladder-train</t>
        </is>
      </c>
      <c r="C166" t="n">
        <v>2</v>
      </c>
      <c r="D166" t="inlineStr">
        <is>
          <t>subsystem</t>
        </is>
      </c>
      <c r="F166" t="inlineStr">
        <is>
          <t>Q4 consumers: adsorption chiller, dry cooler rejection, MAU HX.</t>
        </is>
      </c>
      <c r="G166" t="n">
        <v>3</v>
      </c>
      <c r="H166" s="5" t="n">
        <v>0</v>
      </c>
      <c r="I166" t="n">
        <v>0</v>
      </c>
      <c r="J166" t="inlineStr">
        <is>
          <t>present</t>
        </is>
      </c>
    </row>
    <row r="167">
      <c r="A167" t="inlineStr">
        <is>
          <t>HEAT.ladder-train.q4-services.ADS_CHILL</t>
        </is>
      </c>
      <c r="B167" t="inlineStr">
        <is>
          <t>HEAT.ladder-train.q4-services</t>
        </is>
      </c>
      <c r="C167" t="n">
        <v>3</v>
      </c>
      <c r="D167" t="inlineStr">
        <is>
          <t>unit</t>
        </is>
      </c>
      <c r="E167" t="inlineStr">
        <is>
          <t>ADS_CHILL</t>
        </is>
      </c>
      <c r="G167" t="n">
        <v>1</v>
      </c>
      <c r="H167" s="5" t="n">
        <v>0</v>
      </c>
      <c r="I167" t="n">
        <v>0</v>
      </c>
      <c r="J167" t="inlineStr">
        <is>
          <t>present</t>
        </is>
      </c>
    </row>
    <row r="168">
      <c r="A168" t="inlineStr">
        <is>
          <t>HEAT.ladder-train.q4-services.DRY_COOLER</t>
        </is>
      </c>
      <c r="B168" t="inlineStr">
        <is>
          <t>HEAT.ladder-train.q4-services</t>
        </is>
      </c>
      <c r="C168" t="n">
        <v>3</v>
      </c>
      <c r="D168" t="inlineStr">
        <is>
          <t>unit</t>
        </is>
      </c>
      <c r="E168" t="inlineStr">
        <is>
          <t>DRY_COOLER</t>
        </is>
      </c>
      <c r="G168" t="n">
        <v>1</v>
      </c>
      <c r="H168" s="5" t="n">
        <v>0</v>
      </c>
      <c r="I168" t="n">
        <v>0</v>
      </c>
      <c r="J168" t="inlineStr">
        <is>
          <t>present</t>
        </is>
      </c>
    </row>
    <row r="169">
      <c r="A169" t="inlineStr">
        <is>
          <t>HEAT.ladder-train.q4-services.MAU_HX</t>
        </is>
      </c>
      <c r="B169" t="inlineStr">
        <is>
          <t>HEAT.ladder-train.q4-services</t>
        </is>
      </c>
      <c r="C169" t="n">
        <v>3</v>
      </c>
      <c r="D169" t="inlineStr">
        <is>
          <t>unit</t>
        </is>
      </c>
      <c r="E169" t="inlineStr">
        <is>
          <t>MAU_HX</t>
        </is>
      </c>
      <c r="G169" t="n">
        <v>1</v>
      </c>
      <c r="H169" s="5" t="n">
        <v>0</v>
      </c>
      <c r="I169" t="n">
        <v>0</v>
      </c>
      <c r="J169" t="inlineStr">
        <is>
          <t>present</t>
        </is>
      </c>
    </row>
    <row r="170">
      <c r="A170" t="inlineStr">
        <is>
          <t>HEAT.ladder-train.stores</t>
        </is>
      </c>
      <c r="B170" t="inlineStr">
        <is>
          <t>HEAT.ladder-train</t>
        </is>
      </c>
      <c r="C170" t="n">
        <v>2</v>
      </c>
      <c r="D170" t="inlineStr">
        <is>
          <t>subsystem</t>
        </is>
      </c>
      <c r="F170" t="inlineStr">
        <is>
          <t>Q1-Q4 A/B heat batteries plus the Q4_BUS header they feed.</t>
        </is>
      </c>
      <c r="G170" t="n">
        <v>9</v>
      </c>
      <c r="H170" s="5" t="n">
        <v>0</v>
      </c>
      <c r="I170" t="n">
        <v>0</v>
      </c>
      <c r="J170" t="inlineStr">
        <is>
          <t>present</t>
        </is>
      </c>
    </row>
    <row r="171">
      <c r="A171" t="inlineStr">
        <is>
          <t>HEAT.ladder-train.stores.Q1_A</t>
        </is>
      </c>
      <c r="B171" t="inlineStr">
        <is>
          <t>HEAT.ladder-train.stores</t>
        </is>
      </c>
      <c r="C171" t="n">
        <v>3</v>
      </c>
      <c r="D171" t="inlineStr">
        <is>
          <t>unit</t>
        </is>
      </c>
      <c r="E171" t="inlineStr">
        <is>
          <t>Q1_A</t>
        </is>
      </c>
      <c r="G171" t="n">
        <v>1</v>
      </c>
      <c r="H171" s="5" t="n">
        <v>0</v>
      </c>
      <c r="I171" t="n">
        <v>0</v>
      </c>
      <c r="J171" t="inlineStr">
        <is>
          <t>present</t>
        </is>
      </c>
    </row>
    <row r="172">
      <c r="A172" t="inlineStr">
        <is>
          <t>HEAT.ladder-train.stores.Q1_B</t>
        </is>
      </c>
      <c r="B172" t="inlineStr">
        <is>
          <t>HEAT.ladder-train.stores</t>
        </is>
      </c>
      <c r="C172" t="n">
        <v>3</v>
      </c>
      <c r="D172" t="inlineStr">
        <is>
          <t>unit</t>
        </is>
      </c>
      <c r="E172" t="inlineStr">
        <is>
          <t>Q1_B</t>
        </is>
      </c>
      <c r="G172" t="n">
        <v>1</v>
      </c>
      <c r="H172" s="5" t="n">
        <v>0</v>
      </c>
      <c r="I172" t="n">
        <v>0</v>
      </c>
      <c r="J172" t="inlineStr">
        <is>
          <t>present</t>
        </is>
      </c>
    </row>
    <row r="173">
      <c r="A173" t="inlineStr">
        <is>
          <t>HEAT.ladder-train.stores.Q2_A</t>
        </is>
      </c>
      <c r="B173" t="inlineStr">
        <is>
          <t>HEAT.ladder-train.stores</t>
        </is>
      </c>
      <c r="C173" t="n">
        <v>3</v>
      </c>
      <c r="D173" t="inlineStr">
        <is>
          <t>unit</t>
        </is>
      </c>
      <c r="E173" t="inlineStr">
        <is>
          <t>Q2_A</t>
        </is>
      </c>
      <c r="G173" t="n">
        <v>1</v>
      </c>
      <c r="H173" s="5" t="n">
        <v>0</v>
      </c>
      <c r="I173" t="n">
        <v>0</v>
      </c>
      <c r="J173" t="inlineStr">
        <is>
          <t>present</t>
        </is>
      </c>
    </row>
    <row r="174">
      <c r="A174" t="inlineStr">
        <is>
          <t>HEAT.ladder-train.stores.Q2_B</t>
        </is>
      </c>
      <c r="B174" t="inlineStr">
        <is>
          <t>HEAT.ladder-train.stores</t>
        </is>
      </c>
      <c r="C174" t="n">
        <v>3</v>
      </c>
      <c r="D174" t="inlineStr">
        <is>
          <t>unit</t>
        </is>
      </c>
      <c r="E174" t="inlineStr">
        <is>
          <t>Q2_B</t>
        </is>
      </c>
      <c r="G174" t="n">
        <v>1</v>
      </c>
      <c r="H174" s="5" t="n">
        <v>0</v>
      </c>
      <c r="I174" t="n">
        <v>0</v>
      </c>
      <c r="J174" t="inlineStr">
        <is>
          <t>present</t>
        </is>
      </c>
    </row>
    <row r="175">
      <c r="A175" t="inlineStr">
        <is>
          <t>HEAT.ladder-train.stores.Q3_A</t>
        </is>
      </c>
      <c r="B175" t="inlineStr">
        <is>
          <t>HEAT.ladder-train.stores</t>
        </is>
      </c>
      <c r="C175" t="n">
        <v>3</v>
      </c>
      <c r="D175" t="inlineStr">
        <is>
          <t>unit</t>
        </is>
      </c>
      <c r="E175" t="inlineStr">
        <is>
          <t>Q3_A</t>
        </is>
      </c>
      <c r="G175" t="n">
        <v>1</v>
      </c>
      <c r="H175" s="5" t="n">
        <v>0</v>
      </c>
      <c r="I175" t="n">
        <v>0</v>
      </c>
      <c r="J175" t="inlineStr">
        <is>
          <t>present</t>
        </is>
      </c>
    </row>
    <row r="176">
      <c r="A176" t="inlineStr">
        <is>
          <t>HEAT.ladder-train.stores.Q3_B</t>
        </is>
      </c>
      <c r="B176" t="inlineStr">
        <is>
          <t>HEAT.ladder-train.stores</t>
        </is>
      </c>
      <c r="C176" t="n">
        <v>3</v>
      </c>
      <c r="D176" t="inlineStr">
        <is>
          <t>unit</t>
        </is>
      </c>
      <c r="E176" t="inlineStr">
        <is>
          <t>Q3_B</t>
        </is>
      </c>
      <c r="G176" t="n">
        <v>1</v>
      </c>
      <c r="H176" s="5" t="n">
        <v>0</v>
      </c>
      <c r="I176" t="n">
        <v>0</v>
      </c>
      <c r="J176" t="inlineStr">
        <is>
          <t>present</t>
        </is>
      </c>
    </row>
    <row r="177">
      <c r="A177" t="inlineStr">
        <is>
          <t>HEAT.ladder-train.stores.Q4_A</t>
        </is>
      </c>
      <c r="B177" t="inlineStr">
        <is>
          <t>HEAT.ladder-train.stores</t>
        </is>
      </c>
      <c r="C177" t="n">
        <v>3</v>
      </c>
      <c r="D177" t="inlineStr">
        <is>
          <t>unit</t>
        </is>
      </c>
      <c r="E177" t="inlineStr">
        <is>
          <t>Q4_A</t>
        </is>
      </c>
      <c r="G177" t="n">
        <v>1</v>
      </c>
      <c r="H177" s="5" t="n">
        <v>0</v>
      </c>
      <c r="I177" t="n">
        <v>0</v>
      </c>
      <c r="J177" t="inlineStr">
        <is>
          <t>present</t>
        </is>
      </c>
    </row>
    <row r="178">
      <c r="A178" t="inlineStr">
        <is>
          <t>HEAT.ladder-train.stores.Q4_B</t>
        </is>
      </c>
      <c r="B178" t="inlineStr">
        <is>
          <t>HEAT.ladder-train.stores</t>
        </is>
      </c>
      <c r="C178" t="n">
        <v>3</v>
      </c>
      <c r="D178" t="inlineStr">
        <is>
          <t>unit</t>
        </is>
      </c>
      <c r="E178" t="inlineStr">
        <is>
          <t>Q4_B</t>
        </is>
      </c>
      <c r="G178" t="n">
        <v>1</v>
      </c>
      <c r="H178" s="5" t="n">
        <v>0</v>
      </c>
      <c r="I178" t="n">
        <v>0</v>
      </c>
      <c r="J178" t="inlineStr">
        <is>
          <t>present</t>
        </is>
      </c>
    </row>
    <row r="179">
      <c r="A179" t="inlineStr">
        <is>
          <t>HEAT.ladder-train.stores.Q4_BUS</t>
        </is>
      </c>
      <c r="B179" t="inlineStr">
        <is>
          <t>HEAT.ladder-train.stores</t>
        </is>
      </c>
      <c r="C179" t="n">
        <v>3</v>
      </c>
      <c r="D179" t="inlineStr">
        <is>
          <t>unit</t>
        </is>
      </c>
      <c r="E179" t="inlineStr">
        <is>
          <t>Q4_BUS</t>
        </is>
      </c>
      <c r="G179" t="n">
        <v>1</v>
      </c>
      <c r="H179" s="5" t="n">
        <v>0</v>
      </c>
      <c r="I179" t="n">
        <v>0</v>
      </c>
      <c r="J179" t="inlineStr">
        <is>
          <t>present</t>
        </is>
      </c>
    </row>
    <row r="180">
      <c r="A180" t="inlineStr">
        <is>
          <t>MEOH</t>
        </is>
      </c>
      <c r="C180" t="n">
        <v>0</v>
      </c>
      <c r="D180" t="inlineStr">
        <is>
          <t>root</t>
        </is>
      </c>
      <c r="F180" t="inlineStr">
        <is>
          <t>Energy Storage System (Electrochemical) — MeOH ESS peer; also feeds processes.</t>
        </is>
      </c>
      <c r="G180" t="n">
        <v>5</v>
      </c>
      <c r="H180" s="5" t="n">
        <v>1.7595</v>
      </c>
      <c r="I180" t="n">
        <v>3</v>
      </c>
      <c r="J180" t="inlineStr">
        <is>
          <t>present</t>
        </is>
      </c>
    </row>
    <row r="181">
      <c r="A181" t="inlineStr">
        <is>
          <t>MEOH.synthesis-train</t>
        </is>
      </c>
      <c r="B181" t="inlineStr">
        <is>
          <t>MEOH</t>
        </is>
      </c>
      <c r="C181" t="n">
        <v>1</v>
      </c>
      <c r="D181" t="inlineStr">
        <is>
          <t>train</t>
        </is>
      </c>
      <c r="F181" t="inlineStr">
        <is>
          <t>CO2+H2 synthesis, fermenter, condenser, tank, and the MeOH IEM fuel cell ESS peer.</t>
        </is>
      </c>
      <c r="G181" t="n">
        <v>5</v>
      </c>
      <c r="H181" s="5" t="n">
        <v>1.7595</v>
      </c>
      <c r="I181" t="n">
        <v>3</v>
      </c>
      <c r="J181" t="inlineStr">
        <is>
          <t>present</t>
        </is>
      </c>
    </row>
    <row r="182">
      <c r="A182" t="inlineStr">
        <is>
          <t>MEOH.synthesis-train.MEOH_COND</t>
        </is>
      </c>
      <c r="B182" t="inlineStr">
        <is>
          <t>MEOH.synthesis-train</t>
        </is>
      </c>
      <c r="C182" t="n">
        <v>2</v>
      </c>
      <c r="D182" t="inlineStr">
        <is>
          <t>unit</t>
        </is>
      </c>
      <c r="E182" t="inlineStr">
        <is>
          <t>MEOH_COND</t>
        </is>
      </c>
      <c r="G182" t="n">
        <v>1</v>
      </c>
      <c r="H182" s="5" t="n">
        <v>0</v>
      </c>
      <c r="I182" t="n">
        <v>0</v>
      </c>
      <c r="J182" t="inlineStr">
        <is>
          <t>present</t>
        </is>
      </c>
    </row>
    <row r="183">
      <c r="A183" t="inlineStr">
        <is>
          <t>MEOH.synthesis-train.MEOH_FC</t>
        </is>
      </c>
      <c r="B183" t="inlineStr">
        <is>
          <t>MEOH.synthesis-train</t>
        </is>
      </c>
      <c r="C183" t="n">
        <v>2</v>
      </c>
      <c r="D183" t="inlineStr">
        <is>
          <t>unit</t>
        </is>
      </c>
      <c r="E183" t="inlineStr">
        <is>
          <t>MEOH_FC</t>
        </is>
      </c>
      <c r="G183" t="n">
        <v>1</v>
      </c>
      <c r="H183" s="5" t="n">
        <v>1</v>
      </c>
      <c r="I183" t="n">
        <v>1</v>
      </c>
      <c r="J183" t="inlineStr">
        <is>
          <t>present</t>
        </is>
      </c>
    </row>
    <row r="184">
      <c r="A184" t="inlineStr">
        <is>
          <t>MEOH.synthesis-train.MEOH_FERM</t>
        </is>
      </c>
      <c r="B184" t="inlineStr">
        <is>
          <t>MEOH.synthesis-train</t>
        </is>
      </c>
      <c r="C184" t="n">
        <v>2</v>
      </c>
      <c r="D184" t="inlineStr">
        <is>
          <t>unit</t>
        </is>
      </c>
      <c r="E184" t="inlineStr">
        <is>
          <t>MEOH_FERM</t>
        </is>
      </c>
      <c r="G184" t="n">
        <v>1</v>
      </c>
      <c r="H184" s="5" t="n">
        <v>0.0207</v>
      </c>
      <c r="I184" t="n">
        <v>1</v>
      </c>
      <c r="J184" t="inlineStr">
        <is>
          <t>present</t>
        </is>
      </c>
    </row>
    <row r="185">
      <c r="A185" t="inlineStr">
        <is>
          <t>MEOH.synthesis-train.MEOH_SYNTH</t>
        </is>
      </c>
      <c r="B185" t="inlineStr">
        <is>
          <t>MEOH.synthesis-train</t>
        </is>
      </c>
      <c r="C185" t="n">
        <v>2</v>
      </c>
      <c r="D185" t="inlineStr">
        <is>
          <t>unit</t>
        </is>
      </c>
      <c r="E185" t="inlineStr">
        <is>
          <t>MEOH_SYNTH</t>
        </is>
      </c>
      <c r="G185" t="n">
        <v>1</v>
      </c>
      <c r="H185" s="5" t="n">
        <v>0.7388</v>
      </c>
      <c r="I185" t="n">
        <v>1</v>
      </c>
      <c r="J185" t="inlineStr">
        <is>
          <t>present</t>
        </is>
      </c>
    </row>
    <row r="186">
      <c r="A186" t="inlineStr">
        <is>
          <t>MEOH.synthesis-train.MEOH_TANK</t>
        </is>
      </c>
      <c r="B186" t="inlineStr">
        <is>
          <t>MEOH.synthesis-train</t>
        </is>
      </c>
      <c r="C186" t="n">
        <v>2</v>
      </c>
      <c r="D186" t="inlineStr">
        <is>
          <t>unit</t>
        </is>
      </c>
      <c r="E186" t="inlineStr">
        <is>
          <t>MEOH_TANK</t>
        </is>
      </c>
      <c r="G186" t="n">
        <v>1</v>
      </c>
      <c r="H186" s="5" t="n">
        <v>0</v>
      </c>
      <c r="I186" t="n">
        <v>0</v>
      </c>
      <c r="J186" t="inlineStr">
        <is>
          <t>present</t>
        </is>
      </c>
    </row>
    <row r="187">
      <c r="A187" t="inlineStr">
        <is>
          <t>MFG</t>
        </is>
      </c>
      <c r="C187" t="n">
        <v>0</v>
      </c>
      <c r="D187" t="inlineStr">
        <is>
          <t>root</t>
        </is>
      </c>
      <c r="F187" t="inlineStr">
        <is>
          <t>Process (Mass transform) — shop, metal forming, blow mold, electrode coat.</t>
        </is>
      </c>
      <c r="G187" t="n">
        <v>10</v>
      </c>
      <c r="H187" s="5" t="n">
        <v>5.4717</v>
      </c>
      <c r="I187" t="n">
        <v>4</v>
      </c>
      <c r="J187" t="inlineStr">
        <is>
          <t>present</t>
        </is>
      </c>
    </row>
    <row r="188">
      <c r="A188" t="inlineStr">
        <is>
          <t>MFG.tools-metal-forming-train</t>
        </is>
      </c>
      <c r="B188" t="inlineStr">
        <is>
          <t>MFG</t>
        </is>
      </c>
      <c r="C188" t="n">
        <v>1</v>
      </c>
      <c r="D188" t="inlineStr">
        <is>
          <t>train</t>
        </is>
      </c>
      <c r="F188" t="inlineStr">
        <is>
          <t>Metal-forming tools (melt, cold mill, wire draw, gas atomizer), hall services (shop, AHU, scrub, Q4 HX) and the blow-mold / electrode-coat study stubs.</t>
        </is>
      </c>
      <c r="G188" t="n">
        <v>10</v>
      </c>
      <c r="H188" s="5" t="n">
        <v>5.4717</v>
      </c>
      <c r="I188" t="n">
        <v>4</v>
      </c>
      <c r="J188" t="inlineStr">
        <is>
          <t>present</t>
        </is>
      </c>
    </row>
    <row r="189">
      <c r="A189" t="inlineStr">
        <is>
          <t>MFG.tools-metal-forming-train.hall-services</t>
        </is>
      </c>
      <c r="B189" t="inlineStr">
        <is>
          <t>MFG.tools-metal-forming-train</t>
        </is>
      </c>
      <c r="C189" t="n">
        <v>2</v>
      </c>
      <c r="D189" t="inlineStr">
        <is>
          <t>subsystem</t>
        </is>
      </c>
      <c r="F189" t="inlineStr">
        <is>
          <t>MFG shop load, metal-aisle AHU and scrub, MET_HX_Q4 furnace-cooling reject (serves FOUNDRY coils, owned by the metal hall).</t>
        </is>
      </c>
      <c r="G189" t="n">
        <v>4</v>
      </c>
      <c r="H189" s="5" t="n">
        <v>5.0234</v>
      </c>
      <c r="I189" t="n">
        <v>2</v>
      </c>
      <c r="J189" t="inlineStr">
        <is>
          <t>present</t>
        </is>
      </c>
    </row>
    <row r="190">
      <c r="A190" t="inlineStr">
        <is>
          <t>MFG.tools-metal-forming-train.hall-services.MET_AHU</t>
        </is>
      </c>
      <c r="B190" t="inlineStr">
        <is>
          <t>MFG.tools-metal-forming-train.hall-services</t>
        </is>
      </c>
      <c r="C190" t="n">
        <v>3</v>
      </c>
      <c r="D190" t="inlineStr">
        <is>
          <t>unit</t>
        </is>
      </c>
      <c r="E190" t="inlineStr">
        <is>
          <t>MET_AHU</t>
        </is>
      </c>
      <c r="G190" t="n">
        <v>1</v>
      </c>
      <c r="H190" s="5" t="n">
        <v>0</v>
      </c>
      <c r="I190" t="n">
        <v>0</v>
      </c>
      <c r="J190" t="inlineStr">
        <is>
          <t>present</t>
        </is>
      </c>
    </row>
    <row r="191">
      <c r="A191" t="inlineStr">
        <is>
          <t>MFG.tools-metal-forming-train.hall-services.MET_HX_Q4</t>
        </is>
      </c>
      <c r="B191" t="inlineStr">
        <is>
          <t>MFG.tools-metal-forming-train.hall-services</t>
        </is>
      </c>
      <c r="C191" t="n">
        <v>3</v>
      </c>
      <c r="D191" t="inlineStr">
        <is>
          <t>unit</t>
        </is>
      </c>
      <c r="E191" t="inlineStr">
        <is>
          <t>MET_HX_Q4</t>
        </is>
      </c>
      <c r="G191" t="n">
        <v>1</v>
      </c>
      <c r="H191" s="5" t="n">
        <v>0</v>
      </c>
      <c r="I191" t="n">
        <v>0</v>
      </c>
      <c r="J191" t="inlineStr">
        <is>
          <t>present</t>
        </is>
      </c>
    </row>
    <row r="192">
      <c r="A192" t="inlineStr">
        <is>
          <t>MFG.tools-metal-forming-train.hall-services.MET_SCRUB</t>
        </is>
      </c>
      <c r="B192" t="inlineStr">
        <is>
          <t>MFG.tools-metal-forming-train.hall-services</t>
        </is>
      </c>
      <c r="C192" t="n">
        <v>3</v>
      </c>
      <c r="D192" t="inlineStr">
        <is>
          <t>unit</t>
        </is>
      </c>
      <c r="E192" t="inlineStr">
        <is>
          <t>MET_SCRUB</t>
        </is>
      </c>
      <c r="G192" t="n">
        <v>1</v>
      </c>
      <c r="H192" s="5" t="n">
        <v>2.1234</v>
      </c>
      <c r="I192" t="n">
        <v>1</v>
      </c>
      <c r="J192" t="inlineStr">
        <is>
          <t>present</t>
        </is>
      </c>
    </row>
    <row r="193">
      <c r="A193" t="inlineStr">
        <is>
          <t>MFG.tools-metal-forming-train.hall-services.MFG_SHOP</t>
        </is>
      </c>
      <c r="B193" t="inlineStr">
        <is>
          <t>MFG.tools-metal-forming-train.hall-services</t>
        </is>
      </c>
      <c r="C193" t="n">
        <v>3</v>
      </c>
      <c r="D193" t="inlineStr">
        <is>
          <t>unit</t>
        </is>
      </c>
      <c r="E193" t="inlineStr">
        <is>
          <t>MFG_SHOP</t>
        </is>
      </c>
      <c r="G193" t="n">
        <v>1</v>
      </c>
      <c r="H193" s="5" t="n">
        <v>2.9</v>
      </c>
      <c r="I193" t="n">
        <v>1</v>
      </c>
      <c r="J193" t="inlineStr">
        <is>
          <t>present</t>
        </is>
      </c>
    </row>
    <row r="194">
      <c r="A194" t="inlineStr">
        <is>
          <t>MFG.tools-metal-forming-train.metal-forming</t>
        </is>
      </c>
      <c r="B194" t="inlineStr">
        <is>
          <t>MFG.tools-metal-forming-train</t>
        </is>
      </c>
      <c r="C194" t="n">
        <v>2</v>
      </c>
      <c r="D194" t="inlineStr">
        <is>
          <t>subsystem</t>
        </is>
      </c>
      <c r="F194" t="inlineStr">
        <is>
          <t>Met melt, cold mill, wire draw, gas atomizer.</t>
        </is>
      </c>
      <c r="G194" t="n">
        <v>4</v>
      </c>
      <c r="H194" s="5" t="n">
        <v>0</v>
      </c>
      <c r="I194" t="n">
        <v>0</v>
      </c>
      <c r="J194" t="inlineStr">
        <is>
          <t>present</t>
        </is>
      </c>
    </row>
    <row r="195">
      <c r="A195" t="inlineStr">
        <is>
          <t>MFG.tools-metal-forming-train.metal-forming.COLD_MILL</t>
        </is>
      </c>
      <c r="B195" t="inlineStr">
        <is>
          <t>MFG.tools-metal-forming-train.metal-forming</t>
        </is>
      </c>
      <c r="C195" t="n">
        <v>3</v>
      </c>
      <c r="D195" t="inlineStr">
        <is>
          <t>unit</t>
        </is>
      </c>
      <c r="E195" t="inlineStr">
        <is>
          <t>COLD_MILL</t>
        </is>
      </c>
      <c r="G195" t="n">
        <v>1</v>
      </c>
      <c r="H195" s="5" t="n">
        <v>0</v>
      </c>
      <c r="I195" t="n">
        <v>0</v>
      </c>
      <c r="J195" t="inlineStr">
        <is>
          <t>present</t>
        </is>
      </c>
    </row>
    <row r="196">
      <c r="A196" t="inlineStr">
        <is>
          <t>MFG.tools-metal-forming-train.metal-forming.GAS_ATOMIZER</t>
        </is>
      </c>
      <c r="B196" t="inlineStr">
        <is>
          <t>MFG.tools-metal-forming-train.metal-forming</t>
        </is>
      </c>
      <c r="C196" t="n">
        <v>3</v>
      </c>
      <c r="D196" t="inlineStr">
        <is>
          <t>unit</t>
        </is>
      </c>
      <c r="E196" t="inlineStr">
        <is>
          <t>GAS_ATOMIZER</t>
        </is>
      </c>
      <c r="G196" t="n">
        <v>1</v>
      </c>
      <c r="H196" s="5" t="n">
        <v>0</v>
      </c>
      <c r="I196" t="n">
        <v>0</v>
      </c>
      <c r="J196" t="inlineStr">
        <is>
          <t>present</t>
        </is>
      </c>
    </row>
    <row r="197">
      <c r="A197" t="inlineStr">
        <is>
          <t>MFG.tools-metal-forming-train.metal-forming.MET_MELT</t>
        </is>
      </c>
      <c r="B197" t="inlineStr">
        <is>
          <t>MFG.tools-metal-forming-train.metal-forming</t>
        </is>
      </c>
      <c r="C197" t="n">
        <v>3</v>
      </c>
      <c r="D197" t="inlineStr">
        <is>
          <t>unit</t>
        </is>
      </c>
      <c r="E197" t="inlineStr">
        <is>
          <t>MET_MELT</t>
        </is>
      </c>
      <c r="G197" t="n">
        <v>1</v>
      </c>
      <c r="H197" s="5" t="n">
        <v>0</v>
      </c>
      <c r="I197" t="n">
        <v>0</v>
      </c>
      <c r="J197" t="inlineStr">
        <is>
          <t>present</t>
        </is>
      </c>
    </row>
    <row r="198">
      <c r="A198" t="inlineStr">
        <is>
          <t>MFG.tools-metal-forming-train.metal-forming.WIRE_DRAW</t>
        </is>
      </c>
      <c r="B198" t="inlineStr">
        <is>
          <t>MFG.tools-metal-forming-train.metal-forming</t>
        </is>
      </c>
      <c r="C198" t="n">
        <v>3</v>
      </c>
      <c r="D198" t="inlineStr">
        <is>
          <t>unit</t>
        </is>
      </c>
      <c r="E198" t="inlineStr">
        <is>
          <t>WIRE_DRAW</t>
        </is>
      </c>
      <c r="G198" t="n">
        <v>1</v>
      </c>
      <c r="H198" s="5" t="n">
        <v>0</v>
      </c>
      <c r="I198" t="n">
        <v>0</v>
      </c>
      <c r="J198" t="inlineStr">
        <is>
          <t>present</t>
        </is>
      </c>
    </row>
    <row r="199">
      <c r="A199" t="inlineStr">
        <is>
          <t>MFG.tools-metal-forming-train.tool-stubs</t>
        </is>
      </c>
      <c r="B199" t="inlineStr">
        <is>
          <t>MFG.tools-metal-forming-train</t>
        </is>
      </c>
      <c r="C199" t="n">
        <v>2</v>
      </c>
      <c r="D199" t="inlineStr">
        <is>
          <t>subsystem</t>
        </is>
      </c>
      <c r="F199" t="inlineStr">
        <is>
          <t>Blow mold and electrode coat study stubs (ST-BLOW-01 / ST-ELC-01 until Present).</t>
        </is>
      </c>
      <c r="G199" t="n">
        <v>2</v>
      </c>
      <c r="H199" s="5" t="n">
        <v>0.4483</v>
      </c>
      <c r="I199" t="n">
        <v>2</v>
      </c>
      <c r="J199" t="inlineStr">
        <is>
          <t>present</t>
        </is>
      </c>
    </row>
    <row r="200">
      <c r="A200" t="inlineStr">
        <is>
          <t>MFG.tools-metal-forming-train.tool-stubs.BLOW_MOLD</t>
        </is>
      </c>
      <c r="B200" t="inlineStr">
        <is>
          <t>MFG.tools-metal-forming-train.tool-stubs</t>
        </is>
      </c>
      <c r="C200" t="n">
        <v>3</v>
      </c>
      <c r="D200" t="inlineStr">
        <is>
          <t>unit</t>
        </is>
      </c>
      <c r="E200" t="inlineStr">
        <is>
          <t>BLOW_MOLD</t>
        </is>
      </c>
      <c r="G200" t="n">
        <v>1</v>
      </c>
      <c r="H200" s="5" t="n">
        <v>0.3691</v>
      </c>
      <c r="I200" t="n">
        <v>1</v>
      </c>
      <c r="J200" t="inlineStr">
        <is>
          <t>present</t>
        </is>
      </c>
    </row>
    <row r="201">
      <c r="A201" t="inlineStr">
        <is>
          <t>MFG.tools-metal-forming-train.tool-stubs.ELECTRODE_COAT</t>
        </is>
      </c>
      <c r="B201" t="inlineStr">
        <is>
          <t>MFG.tools-metal-forming-train.tool-stubs</t>
        </is>
      </c>
      <c r="C201" t="n">
        <v>3</v>
      </c>
      <c r="D201" t="inlineStr">
        <is>
          <t>unit</t>
        </is>
      </c>
      <c r="E201" t="inlineStr">
        <is>
          <t>ELECTRODE_COAT</t>
        </is>
      </c>
      <c r="G201" t="n">
        <v>1</v>
      </c>
      <c r="H201" s="5" t="n">
        <v>0.07920000000000001</v>
      </c>
      <c r="I201" t="n">
        <v>1</v>
      </c>
      <c r="J201" t="inlineStr">
        <is>
          <t>present</t>
        </is>
      </c>
    </row>
    <row r="202">
      <c r="A202" t="inlineStr">
        <is>
          <t>NUT</t>
        </is>
      </c>
      <c r="C202" t="n">
        <v>0</v>
      </c>
      <c r="D202" t="inlineStr">
        <is>
          <t>root</t>
        </is>
      </c>
      <c r="F202" t="inlineStr">
        <is>
          <t>Process (Mass transform) — nutrient dose.</t>
        </is>
      </c>
      <c r="G202" t="n">
        <v>1</v>
      </c>
      <c r="H202" s="5" t="n">
        <v>0.0245</v>
      </c>
      <c r="I202" t="n">
        <v>1</v>
      </c>
      <c r="J202" t="inlineStr">
        <is>
          <t>present</t>
        </is>
      </c>
    </row>
    <row r="203">
      <c r="A203" t="inlineStr">
        <is>
          <t>NUT.dosing-train</t>
        </is>
      </c>
      <c r="B203" t="inlineStr">
        <is>
          <t>NUT</t>
        </is>
      </c>
      <c r="C203" t="n">
        <v>1</v>
      </c>
      <c r="D203" t="inlineStr">
        <is>
          <t>train</t>
        </is>
      </c>
      <c r="F203" t="inlineStr">
        <is>
          <t>Nutrient dosing from black digest and NOx scrub liquor to the grow beds.</t>
        </is>
      </c>
      <c r="G203" t="n">
        <v>1</v>
      </c>
      <c r="H203" s="5" t="n">
        <v>0.0245</v>
      </c>
      <c r="I203" t="n">
        <v>1</v>
      </c>
      <c r="J203" t="inlineStr">
        <is>
          <t>present</t>
        </is>
      </c>
    </row>
    <row r="204">
      <c r="A204" t="inlineStr">
        <is>
          <t>NUT.dosing-train.NUTRIENT_DOSE</t>
        </is>
      </c>
      <c r="B204" t="inlineStr">
        <is>
          <t>NUT.dosing-train</t>
        </is>
      </c>
      <c r="C204" t="n">
        <v>2</v>
      </c>
      <c r="D204" t="inlineStr">
        <is>
          <t>unit</t>
        </is>
      </c>
      <c r="E204" t="inlineStr">
        <is>
          <t>NUTRIENT_DOSE</t>
        </is>
      </c>
      <c r="G204" t="n">
        <v>1</v>
      </c>
      <c r="H204" s="5" t="n">
        <v>0.0245</v>
      </c>
      <c r="I204" t="n">
        <v>1</v>
      </c>
      <c r="J204" t="inlineStr">
        <is>
          <t>present</t>
        </is>
      </c>
    </row>
    <row r="205">
      <c r="A205" t="inlineStr">
        <is>
          <t>OIL</t>
        </is>
      </c>
      <c r="C205" t="n">
        <v>0</v>
      </c>
      <c r="D205" t="inlineStr">
        <is>
          <t>root</t>
        </is>
      </c>
      <c r="F205" t="inlineStr">
        <is>
          <t>Process (Mass transform) — organics / oil loop; afterburner to CRYO.</t>
        </is>
      </c>
      <c r="G205" t="n">
        <v>13</v>
      </c>
      <c r="H205" s="5" t="n">
        <v>1.7972</v>
      </c>
      <c r="I205" t="n">
        <v>2</v>
      </c>
      <c r="J205" t="inlineStr">
        <is>
          <t>present</t>
        </is>
      </c>
    </row>
    <row r="206">
      <c r="A206" t="inlineStr">
        <is>
          <t>OIL.pyro-fractionation-train</t>
        </is>
      </c>
      <c r="B206" t="inlineStr">
        <is>
          <t>OIL</t>
        </is>
      </c>
      <c r="C206" t="n">
        <v>1</v>
      </c>
      <c r="D206" t="inlineStr">
        <is>
          <t>train</t>
        </is>
      </c>
      <c r="F206" t="inlineStr">
        <is>
          <t>Hopper and dryer, pyrolysis, fractionator, cut tanks and headers, C29 recycle, NCG to afterburner; wax cuts to the grease lines.</t>
        </is>
      </c>
      <c r="G206" t="n">
        <v>13</v>
      </c>
      <c r="H206" s="5" t="n">
        <v>1.7972</v>
      </c>
      <c r="I206" t="n">
        <v>2</v>
      </c>
      <c r="J206" t="inlineStr">
        <is>
          <t>present</t>
        </is>
      </c>
    </row>
    <row r="207">
      <c r="A207" t="inlineStr">
        <is>
          <t>OIL.pyro-fractionation-train.AFTERBURNER</t>
        </is>
      </c>
      <c r="B207" t="inlineStr">
        <is>
          <t>OIL.pyro-fractionation-train</t>
        </is>
      </c>
      <c r="C207" t="n">
        <v>2</v>
      </c>
      <c r="D207" t="inlineStr">
        <is>
          <t>unit</t>
        </is>
      </c>
      <c r="E207" t="inlineStr">
        <is>
          <t>AFTERBURNER</t>
        </is>
      </c>
      <c r="G207" t="n">
        <v>1</v>
      </c>
      <c r="H207" s="5" t="n">
        <v>0.1332</v>
      </c>
      <c r="I207" t="n">
        <v>1</v>
      </c>
      <c r="J207" t="inlineStr">
        <is>
          <t>present</t>
        </is>
      </c>
    </row>
    <row r="208">
      <c r="A208" t="inlineStr">
        <is>
          <t>OIL.pyro-fractionation-train.cuts-and-headers</t>
        </is>
      </c>
      <c r="B208" t="inlineStr">
        <is>
          <t>OIL.pyro-fractionation-train</t>
        </is>
      </c>
      <c r="C208" t="n">
        <v>2</v>
      </c>
      <c r="D208" t="inlineStr">
        <is>
          <t>subsystem</t>
        </is>
      </c>
      <c r="F208" t="inlineStr">
        <is>
          <t>C5-C10 / C11-C18 / C19-C28 / C29 cut tanks, C29 recycle, NCG header.</t>
        </is>
      </c>
      <c r="G208" t="n">
        <v>6</v>
      </c>
      <c r="H208" s="5" t="n">
        <v>0</v>
      </c>
      <c r="I208" t="n">
        <v>0</v>
      </c>
      <c r="J208" t="inlineStr">
        <is>
          <t>present</t>
        </is>
      </c>
    </row>
    <row r="209">
      <c r="A209" t="inlineStr">
        <is>
          <t>OIL.pyro-fractionation-train.cuts-and-headers.C29_RECYCLE</t>
        </is>
      </c>
      <c r="B209" t="inlineStr">
        <is>
          <t>OIL.pyro-fractionation-train.cuts-and-headers</t>
        </is>
      </c>
      <c r="C209" t="n">
        <v>3</v>
      </c>
      <c r="D209" t="inlineStr">
        <is>
          <t>unit</t>
        </is>
      </c>
      <c r="E209" t="inlineStr">
        <is>
          <t>C29_RECYCLE</t>
        </is>
      </c>
      <c r="G209" t="n">
        <v>1</v>
      </c>
      <c r="H209" s="5" t="n">
        <v>0</v>
      </c>
      <c r="I209" t="n">
        <v>0</v>
      </c>
      <c r="J209" t="inlineStr">
        <is>
          <t>present</t>
        </is>
      </c>
    </row>
    <row r="210">
      <c r="A210" t="inlineStr">
        <is>
          <t>OIL.pyro-fractionation-train.cuts-and-headers.NCG_HEADER</t>
        </is>
      </c>
      <c r="B210" t="inlineStr">
        <is>
          <t>OIL.pyro-fractionation-train.cuts-and-headers</t>
        </is>
      </c>
      <c r="C210" t="n">
        <v>3</v>
      </c>
      <c r="D210" t="inlineStr">
        <is>
          <t>unit</t>
        </is>
      </c>
      <c r="E210" t="inlineStr">
        <is>
          <t>NCG_HEADER</t>
        </is>
      </c>
      <c r="G210" t="n">
        <v>1</v>
      </c>
      <c r="H210" s="5" t="n">
        <v>0</v>
      </c>
      <c r="I210" t="n">
        <v>0</v>
      </c>
      <c r="J210" t="inlineStr">
        <is>
          <t>present</t>
        </is>
      </c>
    </row>
    <row r="211">
      <c r="A211" t="inlineStr">
        <is>
          <t>OIL.pyro-fractionation-train.cuts-and-headers.PROD_C11_C18</t>
        </is>
      </c>
      <c r="B211" t="inlineStr">
        <is>
          <t>OIL.pyro-fractionation-train.cuts-and-headers</t>
        </is>
      </c>
      <c r="C211" t="n">
        <v>3</v>
      </c>
      <c r="D211" t="inlineStr">
        <is>
          <t>unit</t>
        </is>
      </c>
      <c r="E211" t="inlineStr">
        <is>
          <t>PROD_C11_C18</t>
        </is>
      </c>
      <c r="G211" t="n">
        <v>1</v>
      </c>
      <c r="H211" s="5" t="n">
        <v>0</v>
      </c>
      <c r="I211" t="n">
        <v>0</v>
      </c>
      <c r="J211" t="inlineStr">
        <is>
          <t>present</t>
        </is>
      </c>
    </row>
    <row r="212">
      <c r="A212" t="inlineStr">
        <is>
          <t>OIL.pyro-fractionation-train.cuts-and-headers.PROD_C19_C28</t>
        </is>
      </c>
      <c r="B212" t="inlineStr">
        <is>
          <t>OIL.pyro-fractionation-train.cuts-and-headers</t>
        </is>
      </c>
      <c r="C212" t="n">
        <v>3</v>
      </c>
      <c r="D212" t="inlineStr">
        <is>
          <t>unit</t>
        </is>
      </c>
      <c r="E212" t="inlineStr">
        <is>
          <t>PROD_C19_C28</t>
        </is>
      </c>
      <c r="G212" t="n">
        <v>1</v>
      </c>
      <c r="H212" s="5" t="n">
        <v>0</v>
      </c>
      <c r="I212" t="n">
        <v>0</v>
      </c>
      <c r="J212" t="inlineStr">
        <is>
          <t>present</t>
        </is>
      </c>
    </row>
    <row r="213">
      <c r="A213" t="inlineStr">
        <is>
          <t>OIL.pyro-fractionation-train.cuts-and-headers.PROD_C29</t>
        </is>
      </c>
      <c r="B213" t="inlineStr">
        <is>
          <t>OIL.pyro-fractionation-train.cuts-and-headers</t>
        </is>
      </c>
      <c r="C213" t="n">
        <v>3</v>
      </c>
      <c r="D213" t="inlineStr">
        <is>
          <t>unit</t>
        </is>
      </c>
      <c r="E213" t="inlineStr">
        <is>
          <t>PROD_C29</t>
        </is>
      </c>
      <c r="G213" t="n">
        <v>1</v>
      </c>
      <c r="H213" s="5" t="n">
        <v>0</v>
      </c>
      <c r="I213" t="n">
        <v>0</v>
      </c>
      <c r="J213" t="inlineStr">
        <is>
          <t>present</t>
        </is>
      </c>
    </row>
    <row r="214">
      <c r="A214" t="inlineStr">
        <is>
          <t>OIL.pyro-fractionation-train.cuts-and-headers.PROD_C5_C10</t>
        </is>
      </c>
      <c r="B214" t="inlineStr">
        <is>
          <t>OIL.pyro-fractionation-train.cuts-and-headers</t>
        </is>
      </c>
      <c r="C214" t="n">
        <v>3</v>
      </c>
      <c r="D214" t="inlineStr">
        <is>
          <t>unit</t>
        </is>
      </c>
      <c r="E214" t="inlineStr">
        <is>
          <t>PROD_C5_C10</t>
        </is>
      </c>
      <c r="G214" t="n">
        <v>1</v>
      </c>
      <c r="H214" s="5" t="n">
        <v>0</v>
      </c>
      <c r="I214" t="n">
        <v>0</v>
      </c>
      <c r="J214" t="inlineStr">
        <is>
          <t>present</t>
        </is>
      </c>
    </row>
    <row r="215">
      <c r="A215" t="inlineStr">
        <is>
          <t>OIL.pyro-fractionation-train.grease-lines</t>
        </is>
      </c>
      <c r="B215" t="inlineStr">
        <is>
          <t>OIL.pyro-fractionation-train</t>
        </is>
      </c>
      <c r="C215" t="n">
        <v>2</v>
      </c>
      <c r="D215" t="inlineStr">
        <is>
          <t>subsystem</t>
        </is>
      </c>
      <c r="F215" t="inlineStr">
        <is>
          <t>Ca and Li grease kettles on the wax cut with P_CA and Li_RECOVER feeds.</t>
        </is>
      </c>
      <c r="G215" t="n">
        <v>2</v>
      </c>
      <c r="H215" s="5" t="n">
        <v>0</v>
      </c>
      <c r="I215" t="n">
        <v>0</v>
      </c>
      <c r="J215" t="inlineStr">
        <is>
          <t>present</t>
        </is>
      </c>
    </row>
    <row r="216">
      <c r="A216" t="inlineStr">
        <is>
          <t>OIL.pyro-fractionation-train.grease-lines.GREASE_CA</t>
        </is>
      </c>
      <c r="B216" t="inlineStr">
        <is>
          <t>OIL.pyro-fractionation-train.grease-lines</t>
        </is>
      </c>
      <c r="C216" t="n">
        <v>3</v>
      </c>
      <c r="D216" t="inlineStr">
        <is>
          <t>unit</t>
        </is>
      </c>
      <c r="E216" t="inlineStr">
        <is>
          <t>GREASE_CA</t>
        </is>
      </c>
      <c r="G216" t="n">
        <v>1</v>
      </c>
      <c r="H216" s="5" t="n">
        <v>0</v>
      </c>
      <c r="I216" t="n">
        <v>0</v>
      </c>
      <c r="J216" t="inlineStr">
        <is>
          <t>present</t>
        </is>
      </c>
    </row>
    <row r="217">
      <c r="A217" t="inlineStr">
        <is>
          <t>OIL.pyro-fractionation-train.grease-lines.GREASE_LI</t>
        </is>
      </c>
      <c r="B217" t="inlineStr">
        <is>
          <t>OIL.pyro-fractionation-train.grease-lines</t>
        </is>
      </c>
      <c r="C217" t="n">
        <v>3</v>
      </c>
      <c r="D217" t="inlineStr">
        <is>
          <t>unit</t>
        </is>
      </c>
      <c r="E217" t="inlineStr">
        <is>
          <t>GREASE_LI</t>
        </is>
      </c>
      <c r="G217" t="n">
        <v>1</v>
      </c>
      <c r="H217" s="5" t="n">
        <v>0</v>
      </c>
      <c r="I217" t="n">
        <v>0</v>
      </c>
      <c r="J217" t="inlineStr">
        <is>
          <t>present</t>
        </is>
      </c>
    </row>
    <row r="218">
      <c r="A218" t="inlineStr">
        <is>
          <t>OIL.pyro-fractionation-train.pyro-frac</t>
        </is>
      </c>
      <c r="B218" t="inlineStr">
        <is>
          <t>OIL.pyro-fractionation-train</t>
        </is>
      </c>
      <c r="C218" t="n">
        <v>2</v>
      </c>
      <c r="D218" t="inlineStr">
        <is>
          <t>subsystem</t>
        </is>
      </c>
      <c r="F218" t="inlineStr">
        <is>
          <t>Hopper, dryer, pyrolysis, fractionator.</t>
        </is>
      </c>
      <c r="G218" t="n">
        <v>4</v>
      </c>
      <c r="H218" s="5" t="n">
        <v>1.664</v>
      </c>
      <c r="I218" t="n">
        <v>1</v>
      </c>
      <c r="J218" t="inlineStr">
        <is>
          <t>present</t>
        </is>
      </c>
    </row>
    <row r="219">
      <c r="A219" t="inlineStr">
        <is>
          <t>OIL.pyro-fractionation-train.pyro-frac.HOPPER</t>
        </is>
      </c>
      <c r="B219" t="inlineStr">
        <is>
          <t>OIL.pyro-fractionation-train.pyro-frac</t>
        </is>
      </c>
      <c r="C219" t="n">
        <v>3</v>
      </c>
      <c r="D219" t="inlineStr">
        <is>
          <t>unit</t>
        </is>
      </c>
      <c r="E219" t="inlineStr">
        <is>
          <t>HOPPER</t>
        </is>
      </c>
      <c r="G219" t="n">
        <v>1</v>
      </c>
      <c r="H219" s="5" t="n">
        <v>0</v>
      </c>
      <c r="I219" t="n">
        <v>0</v>
      </c>
      <c r="J219" t="inlineStr">
        <is>
          <t>present</t>
        </is>
      </c>
    </row>
    <row r="220">
      <c r="A220" t="inlineStr">
        <is>
          <t>OIL.pyro-fractionation-train.pyro-frac.OIL_DRYER</t>
        </is>
      </c>
      <c r="B220" t="inlineStr">
        <is>
          <t>OIL.pyro-fractionation-train.pyro-frac</t>
        </is>
      </c>
      <c r="C220" t="n">
        <v>3</v>
      </c>
      <c r="D220" t="inlineStr">
        <is>
          <t>unit</t>
        </is>
      </c>
      <c r="E220" t="inlineStr">
        <is>
          <t>OIL_DRYER</t>
        </is>
      </c>
      <c r="G220" t="n">
        <v>1</v>
      </c>
      <c r="H220" s="5" t="n">
        <v>0</v>
      </c>
      <c r="I220" t="n">
        <v>0</v>
      </c>
      <c r="J220" t="inlineStr">
        <is>
          <t>present</t>
        </is>
      </c>
    </row>
    <row r="221">
      <c r="A221" t="inlineStr">
        <is>
          <t>OIL.pyro-fractionation-train.pyro-frac.OIL_FRAC</t>
        </is>
      </c>
      <c r="B221" t="inlineStr">
        <is>
          <t>OIL.pyro-fractionation-train.pyro-frac</t>
        </is>
      </c>
      <c r="C221" t="n">
        <v>3</v>
      </c>
      <c r="D221" t="inlineStr">
        <is>
          <t>unit</t>
        </is>
      </c>
      <c r="E221" t="inlineStr">
        <is>
          <t>OIL_FRAC</t>
        </is>
      </c>
      <c r="G221" t="n">
        <v>1</v>
      </c>
      <c r="H221" s="5" t="n">
        <v>0</v>
      </c>
      <c r="I221" t="n">
        <v>0</v>
      </c>
      <c r="J221" t="inlineStr">
        <is>
          <t>present</t>
        </is>
      </c>
    </row>
    <row r="222">
      <c r="A222" t="inlineStr">
        <is>
          <t>OIL.pyro-fractionation-train.pyro-frac.OIL_PYRO</t>
        </is>
      </c>
      <c r="B222" t="inlineStr">
        <is>
          <t>OIL.pyro-fractionation-train.pyro-frac</t>
        </is>
      </c>
      <c r="C222" t="n">
        <v>3</v>
      </c>
      <c r="D222" t="inlineStr">
        <is>
          <t>unit</t>
        </is>
      </c>
      <c r="E222" t="inlineStr">
        <is>
          <t>OIL_PYRO</t>
        </is>
      </c>
      <c r="G222" t="n">
        <v>1</v>
      </c>
      <c r="H222" s="5" t="n">
        <v>1.664</v>
      </c>
      <c r="I222" t="n">
        <v>1</v>
      </c>
      <c r="J222" t="inlineStr">
        <is>
          <t>present</t>
        </is>
      </c>
    </row>
    <row r="223">
      <c r="A223" t="inlineStr">
        <is>
          <t>POLYMERS</t>
        </is>
      </c>
      <c r="C223" t="n">
        <v>0</v>
      </c>
      <c r="D223" t="inlineStr">
        <is>
          <t>root</t>
        </is>
      </c>
      <c r="F223" t="inlineStr">
        <is>
          <t>Process (Mass transform) — fluoropolymer synthesis, polyolefin, form factors.</t>
        </is>
      </c>
      <c r="G223" t="n">
        <v>10</v>
      </c>
      <c r="H223" s="5" t="n">
        <v>1.3888</v>
      </c>
      <c r="I223" t="n">
        <v>6</v>
      </c>
      <c r="J223" t="inlineStr">
        <is>
          <t>present</t>
        </is>
      </c>
    </row>
    <row r="224">
      <c r="A224" t="inlineStr">
        <is>
          <t>POLYMERS.fluoropolymer-train</t>
        </is>
      </c>
      <c r="B224" t="inlineStr">
        <is>
          <t>POLYMERS</t>
        </is>
      </c>
      <c r="C224" t="n">
        <v>1</v>
      </c>
      <c r="D224" t="inlineStr">
        <is>
          <t>train</t>
        </is>
      </c>
      <c r="F224" t="inlineStr">
        <is>
          <t>STANDBY. HF from DIGESTER.F_RECOVER plus CRU chlorine through VDF/TFE synthesis to PVDF/PTFE polymer.</t>
        </is>
      </c>
      <c r="G224" t="n">
        <v>4</v>
      </c>
      <c r="H224" s="5" t="n">
        <v>1.2649</v>
      </c>
      <c r="I224" t="n">
        <v>4</v>
      </c>
      <c r="J224" t="inlineStr">
        <is>
          <t>present</t>
        </is>
      </c>
    </row>
    <row r="225">
      <c r="A225" t="inlineStr">
        <is>
          <t>POLYMERS.fluoropolymer-train.HF_GEN</t>
        </is>
      </c>
      <c r="B225" t="inlineStr">
        <is>
          <t>POLYMERS.fluoropolymer-train</t>
        </is>
      </c>
      <c r="C225" t="n">
        <v>2</v>
      </c>
      <c r="D225" t="inlineStr">
        <is>
          <t>unit</t>
        </is>
      </c>
      <c r="E225" t="inlineStr">
        <is>
          <t>HF_GEN</t>
        </is>
      </c>
      <c r="G225" t="n">
        <v>1</v>
      </c>
      <c r="H225" s="5" t="n">
        <v>0.3083</v>
      </c>
      <c r="I225" t="n">
        <v>1</v>
      </c>
      <c r="J225" t="inlineStr">
        <is>
          <t>present</t>
        </is>
      </c>
    </row>
    <row r="226">
      <c r="A226" t="inlineStr">
        <is>
          <t>POLYMERS.fluoropolymer-train.POLY_F</t>
        </is>
      </c>
      <c r="B226" t="inlineStr">
        <is>
          <t>POLYMERS.fluoropolymer-train</t>
        </is>
      </c>
      <c r="C226" t="n">
        <v>2</v>
      </c>
      <c r="D226" t="inlineStr">
        <is>
          <t>unit</t>
        </is>
      </c>
      <c r="E226" t="inlineStr">
        <is>
          <t>POLY_F</t>
        </is>
      </c>
      <c r="G226" t="n">
        <v>1</v>
      </c>
      <c r="H226" s="5" t="n">
        <v>0.0449</v>
      </c>
      <c r="I226" t="n">
        <v>1</v>
      </c>
      <c r="J226" t="inlineStr">
        <is>
          <t>present</t>
        </is>
      </c>
    </row>
    <row r="227">
      <c r="A227" t="inlineStr">
        <is>
          <t>POLYMERS.fluoropolymer-train.TFE_SYN</t>
        </is>
      </c>
      <c r="B227" t="inlineStr">
        <is>
          <t>POLYMERS.fluoropolymer-train</t>
        </is>
      </c>
      <c r="C227" t="n">
        <v>2</v>
      </c>
      <c r="D227" t="inlineStr">
        <is>
          <t>unit</t>
        </is>
      </c>
      <c r="E227" t="inlineStr">
        <is>
          <t>TFE_SYN</t>
        </is>
      </c>
      <c r="G227" t="n">
        <v>1</v>
      </c>
      <c r="H227" s="5" t="n">
        <v>0.3989</v>
      </c>
      <c r="I227" t="n">
        <v>1</v>
      </c>
      <c r="J227" t="inlineStr">
        <is>
          <t>present</t>
        </is>
      </c>
    </row>
    <row r="228">
      <c r="A228" t="inlineStr">
        <is>
          <t>POLYMERS.fluoropolymer-train.VDF_SYN</t>
        </is>
      </c>
      <c r="B228" t="inlineStr">
        <is>
          <t>POLYMERS.fluoropolymer-train</t>
        </is>
      </c>
      <c r="C228" t="n">
        <v>2</v>
      </c>
      <c r="D228" t="inlineStr">
        <is>
          <t>unit</t>
        </is>
      </c>
      <c r="E228" t="inlineStr">
        <is>
          <t>VDF_SYN</t>
        </is>
      </c>
      <c r="G228" t="n">
        <v>1</v>
      </c>
      <c r="H228" s="5" t="n">
        <v>0.5128</v>
      </c>
      <c r="I228" t="n">
        <v>1</v>
      </c>
      <c r="J228" t="inlineStr">
        <is>
          <t>present</t>
        </is>
      </c>
    </row>
    <row r="229">
      <c r="A229" t="inlineStr">
        <is>
          <t>POLYMERS.forming-train</t>
        </is>
      </c>
      <c r="B229" t="inlineStr">
        <is>
          <t>POLYMERS</t>
        </is>
      </c>
      <c r="C229" t="n">
        <v>1</v>
      </c>
      <c r="D229" t="inlineStr">
        <is>
          <t>train</t>
        </is>
      </c>
      <c r="F229" t="inlineStr">
        <is>
          <t>Form factors and stock: pellet, powder resin, film cast, POLY_STOCK dispatch to MFG / FAB / leach lining returns.</t>
        </is>
      </c>
      <c r="G229" t="n">
        <v>4</v>
      </c>
      <c r="H229" s="5" t="n">
        <v>0.1239</v>
      </c>
      <c r="I229" t="n">
        <v>2</v>
      </c>
      <c r="J229" t="inlineStr">
        <is>
          <t>present</t>
        </is>
      </c>
    </row>
    <row r="230">
      <c r="A230" t="inlineStr">
        <is>
          <t>POLYMERS.forming-train.FILM_CAST</t>
        </is>
      </c>
      <c r="B230" t="inlineStr">
        <is>
          <t>POLYMERS.forming-train</t>
        </is>
      </c>
      <c r="C230" t="n">
        <v>2</v>
      </c>
      <c r="D230" t="inlineStr">
        <is>
          <t>unit</t>
        </is>
      </c>
      <c r="E230" t="inlineStr">
        <is>
          <t>FILM_CAST</t>
        </is>
      </c>
      <c r="G230" t="n">
        <v>1</v>
      </c>
      <c r="H230" s="5" t="n">
        <v>0.1087</v>
      </c>
      <c r="I230" t="n">
        <v>1</v>
      </c>
      <c r="J230" t="inlineStr">
        <is>
          <t>present</t>
        </is>
      </c>
    </row>
    <row r="231">
      <c r="A231" t="inlineStr">
        <is>
          <t>POLYMERS.forming-train.PELLET</t>
        </is>
      </c>
      <c r="B231" t="inlineStr">
        <is>
          <t>POLYMERS.forming-train</t>
        </is>
      </c>
      <c r="C231" t="n">
        <v>2</v>
      </c>
      <c r="D231" t="inlineStr">
        <is>
          <t>unit</t>
        </is>
      </c>
      <c r="E231" t="inlineStr">
        <is>
          <t>PELLET</t>
        </is>
      </c>
      <c r="G231" t="n">
        <v>1</v>
      </c>
      <c r="H231" s="5" t="n">
        <v>0</v>
      </c>
      <c r="I231" t="n">
        <v>0</v>
      </c>
      <c r="J231" t="inlineStr">
        <is>
          <t>present</t>
        </is>
      </c>
    </row>
    <row r="232">
      <c r="A232" t="inlineStr">
        <is>
          <t>POLYMERS.forming-train.POLY_STOCK</t>
        </is>
      </c>
      <c r="B232" t="inlineStr">
        <is>
          <t>POLYMERS.forming-train</t>
        </is>
      </c>
      <c r="C232" t="n">
        <v>2</v>
      </c>
      <c r="D232" t="inlineStr">
        <is>
          <t>unit</t>
        </is>
      </c>
      <c r="E232" t="inlineStr">
        <is>
          <t>POLY_STOCK</t>
        </is>
      </c>
      <c r="G232" t="n">
        <v>1</v>
      </c>
      <c r="H232" s="5" t="n">
        <v>0</v>
      </c>
      <c r="I232" t="n">
        <v>0</v>
      </c>
      <c r="J232" t="inlineStr">
        <is>
          <t>present</t>
        </is>
      </c>
    </row>
    <row r="233">
      <c r="A233" t="inlineStr">
        <is>
          <t>POLYMERS.forming-train.POWDER_RESIN</t>
        </is>
      </c>
      <c r="B233" t="inlineStr">
        <is>
          <t>POLYMERS.forming-train</t>
        </is>
      </c>
      <c r="C233" t="n">
        <v>2</v>
      </c>
      <c r="D233" t="inlineStr">
        <is>
          <t>unit</t>
        </is>
      </c>
      <c r="E233" t="inlineStr">
        <is>
          <t>POWDER_RESIN</t>
        </is>
      </c>
      <c r="G233" t="n">
        <v>1</v>
      </c>
      <c r="H233" s="5" t="n">
        <v>0.0152</v>
      </c>
      <c r="I233" t="n">
        <v>1</v>
      </c>
      <c r="J233" t="inlineStr">
        <is>
          <t>present</t>
        </is>
      </c>
    </row>
    <row r="234">
      <c r="A234" t="inlineStr">
        <is>
          <t>POLYMERS.polyolefin-train</t>
        </is>
      </c>
      <c r="B234" t="inlineStr">
        <is>
          <t>POLYMERS</t>
        </is>
      </c>
      <c r="C234" t="n">
        <v>1</v>
      </c>
      <c r="D234" t="inlineStr">
        <is>
          <t>train</t>
        </is>
      </c>
      <c r="F234" t="inlineStr">
        <is>
          <t>Polyolefin from OIL light cuts and MEOH co-feed; POLY_COND condensation polymer on digester organics.</t>
        </is>
      </c>
      <c r="G234" t="n">
        <v>2</v>
      </c>
      <c r="H234" s="5" t="n">
        <v>0</v>
      </c>
      <c r="I234" t="n">
        <v>0</v>
      </c>
      <c r="J234" t="inlineStr">
        <is>
          <t>present</t>
        </is>
      </c>
    </row>
    <row r="235">
      <c r="A235" t="inlineStr">
        <is>
          <t>POLYMERS.polyolefin-train.POLY_COND</t>
        </is>
      </c>
      <c r="B235" t="inlineStr">
        <is>
          <t>POLYMERS.polyolefin-train</t>
        </is>
      </c>
      <c r="C235" t="n">
        <v>2</v>
      </c>
      <c r="D235" t="inlineStr">
        <is>
          <t>unit</t>
        </is>
      </c>
      <c r="E235" t="inlineStr">
        <is>
          <t>POLY_COND</t>
        </is>
      </c>
      <c r="G235" t="n">
        <v>1</v>
      </c>
      <c r="H235" s="5" t="n">
        <v>0</v>
      </c>
      <c r="I235" t="n">
        <v>0</v>
      </c>
      <c r="J235" t="inlineStr">
        <is>
          <t>present</t>
        </is>
      </c>
    </row>
    <row r="236">
      <c r="A236" t="inlineStr">
        <is>
          <t>POLYMERS.polyolefin-train.POLY_OLEFIN</t>
        </is>
      </c>
      <c r="B236" t="inlineStr">
        <is>
          <t>POLYMERS.polyolefin-train</t>
        </is>
      </c>
      <c r="C236" t="n">
        <v>2</v>
      </c>
      <c r="D236" t="inlineStr">
        <is>
          <t>unit</t>
        </is>
      </c>
      <c r="E236" t="inlineStr">
        <is>
          <t>POLY_OLEFIN</t>
        </is>
      </c>
      <c r="G236" t="n">
        <v>1</v>
      </c>
      <c r="H236" s="5" t="n">
        <v>0</v>
      </c>
      <c r="I236" t="n">
        <v>0</v>
      </c>
      <c r="J236" t="inlineStr">
        <is>
          <t>present</t>
        </is>
      </c>
    </row>
    <row r="237">
      <c r="A237" t="inlineStr">
        <is>
          <t>PUMPED_HYDRO</t>
        </is>
      </c>
      <c r="C237" t="n">
        <v>0</v>
      </c>
      <c r="D237" t="inlineStr">
        <is>
          <t>root</t>
        </is>
      </c>
      <c r="F237" t="inlineStr">
        <is>
          <t>Energy Storage System (Gravity) — roof-catch penstock ESS peer.</t>
        </is>
      </c>
      <c r="G237" t="n">
        <v>1</v>
      </c>
      <c r="H237" s="5" t="n">
        <v>0</v>
      </c>
      <c r="I237" t="n">
        <v>0</v>
      </c>
      <c r="J237" t="inlineStr">
        <is>
          <t>present</t>
        </is>
      </c>
    </row>
    <row r="238">
      <c r="A238" t="inlineStr">
        <is>
          <t>PUMPED_HYDRO.hydro-train</t>
        </is>
      </c>
      <c r="B238" t="inlineStr">
        <is>
          <t>PUMPED_HYDRO</t>
        </is>
      </c>
      <c r="C238" t="n">
        <v>1</v>
      </c>
      <c r="D238" t="inlineStr">
        <is>
          <t>train</t>
        </is>
      </c>
      <c r="F238" t="inlineStr">
        <is>
          <t>Roof-catch turbine-pump set (M1 symbolic redundancy; AQS-ESS-001).</t>
        </is>
      </c>
      <c r="G238" t="n">
        <v>1</v>
      </c>
      <c r="H238" s="5" t="n">
        <v>0</v>
      </c>
      <c r="I238" t="n">
        <v>0</v>
      </c>
      <c r="J238" t="inlineStr">
        <is>
          <t>present</t>
        </is>
      </c>
    </row>
    <row r="239">
      <c r="A239" t="inlineStr">
        <is>
          <t>PUMPED_HYDRO.hydro-train.HYDRO_SET</t>
        </is>
      </c>
      <c r="B239" t="inlineStr">
        <is>
          <t>PUMPED_HYDRO.hydro-train</t>
        </is>
      </c>
      <c r="C239" t="n">
        <v>2</v>
      </c>
      <c r="D239" t="inlineStr">
        <is>
          <t>unit</t>
        </is>
      </c>
      <c r="E239" t="inlineStr">
        <is>
          <t>HYDRO_SET</t>
        </is>
      </c>
      <c r="G239" t="n">
        <v>1</v>
      </c>
      <c r="H239" s="5" t="n">
        <v>0</v>
      </c>
      <c r="I239" t="n">
        <v>0</v>
      </c>
      <c r="J239" t="inlineStr">
        <is>
          <t>present</t>
        </is>
      </c>
    </row>
    <row r="240">
      <c r="A240" t="inlineStr">
        <is>
          <t>WTR</t>
        </is>
      </c>
      <c r="C240" t="n">
        <v>0</v>
      </c>
      <c r="D240" t="inlineStr">
        <is>
          <t>root</t>
        </is>
      </c>
      <c r="F240" t="inlineStr">
        <is>
          <t>Utility / header — roof / catch / VCD / UPW / grey / black water.</t>
        </is>
      </c>
      <c r="G240" t="n">
        <v>8</v>
      </c>
      <c r="H240" s="5" t="n">
        <v>0.4052</v>
      </c>
      <c r="I240" t="n">
        <v>4</v>
      </c>
      <c r="J240" t="inlineStr">
        <is>
          <t>present</t>
        </is>
      </c>
    </row>
    <row r="241">
      <c r="A241" t="inlineStr">
        <is>
          <t>WTR.grey-black-train</t>
        </is>
      </c>
      <c r="B241" t="inlineStr">
        <is>
          <t>WTR</t>
        </is>
      </c>
      <c r="C241" t="n">
        <v>1</v>
      </c>
      <c r="D241" t="inlineStr">
        <is>
          <t>train</t>
        </is>
      </c>
      <c r="F241" t="inlineStr">
        <is>
          <t>Grey treatment and the blackwater barrier digest (vacuum toilet, urine, fecal, galley).</t>
        </is>
      </c>
      <c r="G241" t="n">
        <v>2</v>
      </c>
      <c r="H241" s="5" t="n">
        <v>0.1052</v>
      </c>
      <c r="I241" t="n">
        <v>1</v>
      </c>
      <c r="J241" t="inlineStr">
        <is>
          <t>present</t>
        </is>
      </c>
    </row>
    <row r="242">
      <c r="A242" t="inlineStr">
        <is>
          <t>WTR.grey-black-train.BLACK_DIGEST</t>
        </is>
      </c>
      <c r="B242" t="inlineStr">
        <is>
          <t>WTR.grey-black-train</t>
        </is>
      </c>
      <c r="C242" t="n">
        <v>2</v>
      </c>
      <c r="D242" t="inlineStr">
        <is>
          <t>unit</t>
        </is>
      </c>
      <c r="E242" t="inlineStr">
        <is>
          <t>BLACK_DIGEST</t>
        </is>
      </c>
      <c r="G242" t="n">
        <v>1</v>
      </c>
      <c r="H242" s="5" t="n">
        <v>0.1052</v>
      </c>
      <c r="I242" t="n">
        <v>1</v>
      </c>
      <c r="J242" t="inlineStr">
        <is>
          <t>present</t>
        </is>
      </c>
    </row>
    <row r="243">
      <c r="A243" t="inlineStr">
        <is>
          <t>WTR.grey-black-train.GREY_TREAT</t>
        </is>
      </c>
      <c r="B243" t="inlineStr">
        <is>
          <t>WTR.grey-black-train</t>
        </is>
      </c>
      <c r="C243" t="n">
        <v>2</v>
      </c>
      <c r="D243" t="inlineStr">
        <is>
          <t>unit</t>
        </is>
      </c>
      <c r="E243" t="inlineStr">
        <is>
          <t>GREY_TREAT</t>
        </is>
      </c>
      <c r="G243" t="n">
        <v>1</v>
      </c>
      <c r="H243" s="5" t="n">
        <v>0</v>
      </c>
      <c r="I243" t="n">
        <v>0</v>
      </c>
      <c r="J243" t="inlineStr">
        <is>
          <t>present</t>
        </is>
      </c>
    </row>
    <row r="244">
      <c r="A244" t="inlineStr">
        <is>
          <t>WTR.potable-upw-train</t>
        </is>
      </c>
      <c r="B244" t="inlineStr">
        <is>
          <t>WTR</t>
        </is>
      </c>
      <c r="C244" t="n">
        <v>1</v>
      </c>
      <c r="D244" t="inlineStr">
        <is>
          <t>train</t>
        </is>
      </c>
      <c r="F244" t="inlineStr">
        <is>
          <t>Roof and catch tanks (pumped-hydro penstock peers), VCD, BMED UPW polish, UPW header, remineralizer to potable.</t>
        </is>
      </c>
      <c r="G244" t="n">
        <v>6</v>
      </c>
      <c r="H244" s="5" t="n">
        <v>0.3</v>
      </c>
      <c r="I244" t="n">
        <v>3</v>
      </c>
      <c r="J244" t="inlineStr">
        <is>
          <t>present</t>
        </is>
      </c>
    </row>
    <row r="245">
      <c r="A245" t="inlineStr">
        <is>
          <t>WTR.potable-upw-train.BMED_UPW_POLISH</t>
        </is>
      </c>
      <c r="B245" t="inlineStr">
        <is>
          <t>WTR.potable-upw-train</t>
        </is>
      </c>
      <c r="C245" t="n">
        <v>2</v>
      </c>
      <c r="D245" t="inlineStr">
        <is>
          <t>unit</t>
        </is>
      </c>
      <c r="E245" t="inlineStr">
        <is>
          <t>BMED_UPW_POLISH</t>
        </is>
      </c>
      <c r="G245" t="n">
        <v>1</v>
      </c>
      <c r="H245" s="5" t="n">
        <v>0.018</v>
      </c>
      <c r="I245" t="n">
        <v>1</v>
      </c>
      <c r="J245" t="inlineStr">
        <is>
          <t>present</t>
        </is>
      </c>
    </row>
    <row r="246">
      <c r="A246" t="inlineStr">
        <is>
          <t>WTR.potable-upw-train.CATCH_TANK</t>
        </is>
      </c>
      <c r="B246" t="inlineStr">
        <is>
          <t>WTR.potable-upw-train</t>
        </is>
      </c>
      <c r="C246" t="n">
        <v>2</v>
      </c>
      <c r="D246" t="inlineStr">
        <is>
          <t>unit</t>
        </is>
      </c>
      <c r="E246" t="inlineStr">
        <is>
          <t>CATCH_TANK</t>
        </is>
      </c>
      <c r="G246" t="n">
        <v>1</v>
      </c>
      <c r="H246" s="5" t="n">
        <v>0</v>
      </c>
      <c r="I246" t="n">
        <v>0</v>
      </c>
      <c r="J246" t="inlineStr">
        <is>
          <t>present</t>
        </is>
      </c>
    </row>
    <row r="247">
      <c r="A247" t="inlineStr">
        <is>
          <t>WTR.potable-upw-train.HDR_UPW</t>
        </is>
      </c>
      <c r="B247" t="inlineStr">
        <is>
          <t>WTR.potable-upw-train</t>
        </is>
      </c>
      <c r="C247" t="n">
        <v>2</v>
      </c>
      <c r="D247" t="inlineStr">
        <is>
          <t>unit</t>
        </is>
      </c>
      <c r="E247" t="inlineStr">
        <is>
          <t>HDR_UPW</t>
        </is>
      </c>
      <c r="G247" t="n">
        <v>1</v>
      </c>
      <c r="H247" s="5" t="n">
        <v>0</v>
      </c>
      <c r="I247" t="n">
        <v>0</v>
      </c>
      <c r="J247" t="inlineStr">
        <is>
          <t>present</t>
        </is>
      </c>
    </row>
    <row r="248">
      <c r="A248" t="inlineStr">
        <is>
          <t>WTR.potable-upw-train.REMIN</t>
        </is>
      </c>
      <c r="B248" t="inlineStr">
        <is>
          <t>WTR.potable-upw-train</t>
        </is>
      </c>
      <c r="C248" t="n">
        <v>2</v>
      </c>
      <c r="D248" t="inlineStr">
        <is>
          <t>unit</t>
        </is>
      </c>
      <c r="E248" t="inlineStr">
        <is>
          <t>REMIN</t>
        </is>
      </c>
      <c r="G248" t="n">
        <v>1</v>
      </c>
      <c r="H248" s="5" t="n">
        <v>0.046</v>
      </c>
      <c r="I248" t="n">
        <v>1</v>
      </c>
      <c r="J248" t="inlineStr">
        <is>
          <t>present</t>
        </is>
      </c>
    </row>
    <row r="249">
      <c r="A249" t="inlineStr">
        <is>
          <t>WTR.potable-upw-train.ROOF_TANK</t>
        </is>
      </c>
      <c r="B249" t="inlineStr">
        <is>
          <t>WTR.potable-upw-train</t>
        </is>
      </c>
      <c r="C249" t="n">
        <v>2</v>
      </c>
      <c r="D249" t="inlineStr">
        <is>
          <t>unit</t>
        </is>
      </c>
      <c r="E249" t="inlineStr">
        <is>
          <t>ROOF_TANK</t>
        </is>
      </c>
      <c r="G249" t="n">
        <v>1</v>
      </c>
      <c r="H249" s="5" t="n">
        <v>0</v>
      </c>
      <c r="I249" t="n">
        <v>0</v>
      </c>
      <c r="J249" t="inlineStr">
        <is>
          <t>present</t>
        </is>
      </c>
    </row>
    <row r="250">
      <c r="A250" t="inlineStr">
        <is>
          <t>WTR.potable-upw-train.VCD_TRAIN</t>
        </is>
      </c>
      <c r="B250" t="inlineStr">
        <is>
          <t>WTR.potable-upw-train</t>
        </is>
      </c>
      <c r="C250" t="n">
        <v>2</v>
      </c>
      <c r="D250" t="inlineStr">
        <is>
          <t>unit</t>
        </is>
      </c>
      <c r="E250" t="inlineStr">
        <is>
          <t>VCD_TRAIN</t>
        </is>
      </c>
      <c r="G250" t="n">
        <v>1</v>
      </c>
      <c r="H250" s="5" t="n">
        <v>0.236</v>
      </c>
      <c r="I250" t="n">
        <v>1</v>
      </c>
      <c r="J250" t="inlineStr">
        <is>
          <t>present</t>
        </is>
      </c>
    </row>
  </sheetData>
  <autoFilter ref="A1:J2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9" customWidth="1" min="4" max="4"/>
    <col width="10" customWidth="1" min="5" max="5"/>
    <col width="90" customWidth="1" min="6" max="6"/>
  </cols>
  <sheetData>
    <row r="1">
      <c r="A1" s="3" t="inlineStr">
        <is>
          <t>block</t>
        </is>
      </c>
      <c r="B1" s="3" t="inlineStr">
        <is>
          <t>item</t>
        </is>
      </c>
      <c r="C1" s="3" t="inlineStr">
        <is>
          <t>value</t>
        </is>
      </c>
      <c r="D1" s="3" t="inlineStr">
        <is>
          <t>unit</t>
        </is>
      </c>
      <c r="E1" s="3" t="inlineStr">
        <is>
          <t>status</t>
        </is>
      </c>
      <c r="F1" s="3" t="inlineStr">
        <is>
          <t>note</t>
        </is>
      </c>
    </row>
    <row r="2">
      <c r="A2" t="inlineStr">
        <is>
          <t>mvs.electrical</t>
        </is>
      </c>
      <c r="B2" t="inlineStr">
        <is>
          <t>need_kw</t>
        </is>
      </c>
      <c r="C2" s="6" t="n">
        <v>179.62</v>
      </c>
      <c r="D2" t="inlineStr">
        <is>
          <t>kW</t>
        </is>
      </c>
      <c r="E2" t="inlineStr">
        <is>
          <t>study</t>
        </is>
      </c>
      <c r="F2" t="inlineStr">
        <is>
          <t>write_graph power() live derivation (A-M-234 replaced_by; A-M-258): converged bounding demand incl. the EXT_HALL extension (roof_close 29x23 bays, ext 68.28 kW).</t>
        </is>
      </c>
    </row>
    <row r="3">
      <c r="A3" t="inlineStr">
        <is>
          <t>mvs.electrical</t>
        </is>
      </c>
      <c r="B3" t="inlineStr">
        <is>
          <t>target_kw</t>
        </is>
      </c>
      <c r="C3" s="6" t="n">
        <v>449.06</v>
      </c>
      <c r="D3" t="inlineStr">
        <is>
          <t>kW</t>
        </is>
      </c>
      <c r="E3" t="inlineStr">
        <is>
          <t>study</t>
        </is>
      </c>
      <c r="F3" t="inlineStr">
        <is>
          <t>write_graph power() live derivation: mean-day average generation of the installed array = pv_oversize_factor x balancing energy / 24 (= 2.5 x need at the drivers basis; A-M-234 formula, D75).</t>
        </is>
      </c>
    </row>
    <row r="4">
      <c r="A4" t="inlineStr">
        <is>
          <t>mvs.electrical</t>
        </is>
      </c>
      <c r="B4" t="inlineStr">
        <is>
          <t>pv_module_kw</t>
        </is>
      </c>
      <c r="C4" t="n">
        <v>0.5</v>
      </c>
    </row>
    <row r="5">
      <c r="A5" t="inlineStr">
        <is>
          <t>mvs.electrical</t>
        </is>
      </c>
      <c r="B5" t="inlineStr">
        <is>
          <t>pv_count</t>
        </is>
      </c>
      <c r="C5" t="n">
        <v>4982</v>
      </c>
    </row>
    <row r="6">
      <c r="A6" t="inlineStr">
        <is>
          <t>mvs.electrical</t>
        </is>
      </c>
      <c r="B6" t="inlineStr">
        <is>
          <t>znbr_module_kw</t>
        </is>
      </c>
      <c r="C6" t="n">
        <v>60</v>
      </c>
    </row>
    <row r="7">
      <c r="A7" t="inlineStr">
        <is>
          <t>mvs.electrical</t>
        </is>
      </c>
      <c r="B7" t="inlineStr">
        <is>
          <t>znbr_count</t>
        </is>
      </c>
      <c r="C7" t="n">
        <v>35</v>
      </c>
    </row>
    <row r="8">
      <c r="A8" t="inlineStr">
        <is>
          <t>mvs.electrical</t>
        </is>
      </c>
      <c r="B8" t="inlineStr">
        <is>
          <t>rect_count</t>
        </is>
      </c>
      <c r="C8" t="n">
        <v>1</v>
      </c>
    </row>
    <row r="9">
      <c r="A9" t="inlineStr">
        <is>
          <t>mvs.electrical</t>
        </is>
      </c>
      <c r="B9" t="inlineStr">
        <is>
          <t>bus_nodes</t>
        </is>
      </c>
      <c r="C9" t="inlineStr">
        <is>
          <t>SOL_ARK_60K | ZNBR2 | RECTIFIER</t>
        </is>
      </c>
    </row>
    <row r="10">
      <c r="A10" t="inlineStr">
        <is>
          <t>mvs.electrical</t>
        </is>
      </c>
      <c r="B10" t="inlineStr">
        <is>
          <t>storage_options</t>
        </is>
      </c>
      <c r="C10" t="inlineStr">
        <is>
          <t>ZNBR2 | MEOH | PUMPED_HYDRO</t>
        </is>
      </c>
    </row>
    <row r="11">
      <c r="A11" s="7" t="inlineStr">
        <is>
          <t>write_graph power() (single writer, D1/D2/D4): need/target/PV/storage chain re-derived per A-M-234 replaced_by / A-M-258 from docs-authority/_power_sizing.py (demand = max(node continuous_kw, SOL_ARK feed) + RECT-EW bounding AC, A-M-231) and solver.roof_close; pv_module_kw x pv_count = PV_ARRAY.params.nameplate_kw; znbr_* = the SOL_ARK hybrid-inverter block the ZNBR2 store is distributed over; rect_count = the single nine-channel RECTIFIER (Rev AC; RECT_EW remap, A-M-255).</t>
        </is>
      </c>
    </row>
    <row r="12">
      <c r="A12" t="inlineStr">
        <is>
          <t>PV_ARRAY</t>
        </is>
      </c>
      <c r="B12" t="inlineStr">
        <is>
          <t>continuous_kw</t>
        </is>
      </c>
      <c r="C12" s="8" t="n">
        <v>336.7016</v>
      </c>
      <c r="D12" t="inlineStr">
        <is>
          <t>kW</t>
        </is>
      </c>
      <c r="E12" t="inlineStr">
        <is>
          <t>study</t>
        </is>
      </c>
    </row>
    <row r="13">
      <c r="A13" t="inlineStr">
        <is>
          <t>ZNBR2</t>
        </is>
      </c>
      <c r="B13" t="inlineStr">
        <is>
          <t>continuous_kw</t>
        </is>
      </c>
      <c r="C13" s="8" t="n">
        <v>179.6238</v>
      </c>
      <c r="D13" t="inlineStr">
        <is>
          <t>kW</t>
        </is>
      </c>
      <c r="E13" t="inlineStr">
        <is>
          <t>study</t>
        </is>
      </c>
    </row>
    <row r="14">
      <c r="A14" t="inlineStr">
        <is>
          <t>SOL_ARK_60K</t>
        </is>
      </c>
      <c r="B14" t="inlineStr">
        <is>
          <t>continuous_kw</t>
        </is>
      </c>
      <c r="C14" s="8" t="n"/>
    </row>
    <row r="15">
      <c r="A15" t="inlineStr">
        <is>
          <t>RECTIFIER</t>
        </is>
      </c>
      <c r="B15" t="inlineStr">
        <is>
          <t>continuous_kw</t>
        </is>
      </c>
      <c r="C15" s="8" t="n">
        <v>12</v>
      </c>
      <c r="D15" t="inlineStr">
        <is>
          <t>kW</t>
        </is>
      </c>
      <c r="E15" t="inlineStr">
        <is>
          <t>study</t>
        </is>
      </c>
    </row>
    <row r="16">
      <c r="A16" t="inlineStr">
        <is>
          <t>BACKUP_GEN</t>
        </is>
      </c>
      <c r="B16" t="inlineStr">
        <is>
          <t>continuous_kw</t>
        </is>
      </c>
      <c r="C16" s="8" t="n">
        <v>0.008200000000000001</v>
      </c>
      <c r="D16" t="inlineStr">
        <is>
          <t>kW</t>
        </is>
      </c>
      <c r="E16" t="inlineStr">
        <is>
          <t>study</t>
        </is>
      </c>
    </row>
    <row r="17">
      <c r="A17" t="inlineStr">
        <is>
          <t>PV_ARRAY</t>
        </is>
      </c>
      <c r="B17" t="inlineStr">
        <is>
          <t>params.module_kw</t>
        </is>
      </c>
      <c r="C17" t="n">
        <v>0.5</v>
      </c>
    </row>
    <row r="18">
      <c r="A18" t="inlineStr">
        <is>
          <t>PV_ARRAY</t>
        </is>
      </c>
      <c r="B18" t="inlineStr">
        <is>
          <t>params.count</t>
        </is>
      </c>
      <c r="C18" t="n">
        <v>4982</v>
      </c>
    </row>
    <row r="19">
      <c r="A19" t="inlineStr">
        <is>
          <t>PV_ARRAY</t>
        </is>
      </c>
      <c r="B19" t="inlineStr">
        <is>
          <t>params.nameplate_kw</t>
        </is>
      </c>
      <c r="C19" t="n">
        <v>2491</v>
      </c>
    </row>
    <row r="20">
      <c r="A20" t="inlineStr">
        <is>
          <t>PV_ARRAY</t>
        </is>
      </c>
      <c r="B20" t="inlineStr">
        <is>
          <t>params.area_m2</t>
        </is>
      </c>
      <c r="C20" t="n">
        <v>21986</v>
      </c>
    </row>
    <row r="21">
      <c r="A21" t="inlineStr">
        <is>
          <t>PV_ARRAY</t>
        </is>
      </c>
      <c r="B21" t="inlineStr">
        <is>
          <t>params.balance_kWp</t>
        </is>
      </c>
      <c r="C21" t="n">
        <v>1246</v>
      </c>
    </row>
    <row r="22">
      <c r="A22" t="inlineStr">
        <is>
          <t>PV_ARRAY</t>
        </is>
      </c>
      <c r="B22" t="inlineStr">
        <is>
          <t>params.oversize_factor</t>
        </is>
      </c>
      <c r="C22" t="n">
        <v>2</v>
      </c>
    </row>
    <row r="23">
      <c r="A23" t="inlineStr">
        <is>
          <t>ZNBR2</t>
        </is>
      </c>
      <c r="B23" t="inlineStr">
        <is>
          <t>params.kW</t>
        </is>
      </c>
      <c r="C23" t="n">
        <v>817</v>
      </c>
    </row>
    <row r="24">
      <c r="A24" t="inlineStr">
        <is>
          <t>ZNBR2</t>
        </is>
      </c>
      <c r="B24" t="inlineStr">
        <is>
          <t>params.kWh</t>
        </is>
      </c>
      <c r="C24" t="n">
        <v>2515</v>
      </c>
    </row>
    <row r="25">
      <c r="A25" t="inlineStr">
        <is>
          <t>ZNBR2</t>
        </is>
      </c>
      <c r="B25" t="inlineStr">
        <is>
          <t>params.charge_kW</t>
        </is>
      </c>
      <c r="C25" t="n">
        <v>817</v>
      </c>
    </row>
    <row r="26">
      <c r="A26" t="inlineStr">
        <is>
          <t>ZNBR2</t>
        </is>
      </c>
      <c r="B26" t="inlineStr">
        <is>
          <t>params.discharge_kW</t>
        </is>
      </c>
      <c r="C26" t="n">
        <v>180</v>
      </c>
    </row>
    <row r="27">
      <c r="A27" t="inlineStr">
        <is>
          <t>SOL_ARK_60K</t>
        </is>
      </c>
      <c r="B27" t="inlineStr">
        <is>
          <t>params.kW</t>
        </is>
      </c>
      <c r="C27" t="n">
        <v>2100</v>
      </c>
    </row>
    <row r="28">
      <c r="A28" t="inlineStr">
        <is>
          <t>SOL_ARK_60K</t>
        </is>
      </c>
      <c r="B28" t="inlineStr">
        <is>
          <t>params.count</t>
        </is>
      </c>
      <c r="C28" t="n">
        <v>35</v>
      </c>
    </row>
    <row r="29">
      <c r="A29" t="inlineStr">
        <is>
          <t>SOL_ARK_60K</t>
        </is>
      </c>
      <c r="B29" t="inlineStr">
        <is>
          <t>params.dc_ac_ratio</t>
        </is>
      </c>
      <c r="C29" t="n">
        <v>1.2</v>
      </c>
    </row>
    <row r="30">
      <c r="A30" t="inlineStr">
        <is>
          <t>SOL_ARK_60K</t>
        </is>
      </c>
      <c r="B30" t="inlineStr">
        <is>
          <t>params.interconnection.export_peak_kW</t>
        </is>
      </c>
      <c r="C30" t="n">
        <v>1920.4</v>
      </c>
    </row>
    <row r="31">
      <c r="A31" t="inlineStr">
        <is>
          <t>RECTIFIER</t>
        </is>
      </c>
      <c r="B31" t="inlineStr">
        <is>
          <t>params.rated_A</t>
        </is>
      </c>
      <c r="C31" t="n">
        <v>16500</v>
      </c>
    </row>
    <row r="32">
      <c r="A32" t="inlineStr">
        <is>
          <t>RECTIFIER</t>
        </is>
      </c>
      <c r="B32" t="inlineStr">
        <is>
          <t>params.nameplate_kw_dc</t>
        </is>
      </c>
      <c r="C32" t="n">
        <v>99</v>
      </c>
    </row>
    <row r="33">
      <c r="A33" t="inlineStr">
        <is>
          <t>RECTIFIER</t>
        </is>
      </c>
      <c r="B33" t="inlineStr">
        <is>
          <t>params.rect_ac_input_kW</t>
        </is>
      </c>
      <c r="C33" t="n">
        <v>38.663</v>
      </c>
    </row>
    <row r="34">
      <c r="A34" t="inlineStr">
        <is>
          <t>RECTIFIER</t>
        </is>
      </c>
      <c r="B34" t="inlineStr">
        <is>
          <t>params.rect_loss_kW</t>
        </is>
      </c>
      <c r="C34" t="n">
        <v>7.733</v>
      </c>
    </row>
    <row r="35">
      <c r="A35" t="inlineStr">
        <is>
          <t>BACKUP_GEN</t>
        </is>
      </c>
      <c r="B35" t="inlineStr">
        <is>
          <t>params.rated_kW</t>
        </is>
      </c>
      <c r="C35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11" customWidth="1" min="4" max="4"/>
    <col width="10" customWidth="1" min="5" max="5"/>
  </cols>
  <sheetData>
    <row r="1">
      <c r="A1" s="3" t="inlineStr">
        <is>
          <t>stream_id</t>
        </is>
      </c>
      <c r="B1" s="3" t="inlineStr">
        <is>
          <t>from_unit</t>
        </is>
      </c>
      <c r="C1" s="3" t="inlineStr">
        <is>
          <t>to_unit</t>
        </is>
      </c>
      <c r="D1" s="3" t="inlineStr">
        <is>
          <t>kw</t>
        </is>
      </c>
      <c r="E1" s="3" t="inlineStr">
        <is>
          <t>status</t>
        </is>
      </c>
    </row>
    <row r="2">
      <c r="A2" t="inlineStr">
        <is>
          <t>HL-AFTERBURNER-Q1-A</t>
        </is>
      </c>
      <c r="B2" t="inlineStr">
        <is>
          <t>AFTERBURNER</t>
        </is>
      </c>
      <c r="C2" t="inlineStr">
        <is>
          <t>Q1_A</t>
        </is>
      </c>
      <c r="D2" s="8" t="n">
        <v>1.383</v>
      </c>
      <c r="E2" t="inlineStr">
        <is>
          <t>study</t>
        </is>
      </c>
    </row>
    <row r="3">
      <c r="A3" t="inlineStr">
        <is>
          <t>HL-AFTERBURNER-Q1-B</t>
        </is>
      </c>
      <c r="B3" t="inlineStr">
        <is>
          <t>AFTERBURNER</t>
        </is>
      </c>
      <c r="C3" t="inlineStr">
        <is>
          <t>Q1_B</t>
        </is>
      </c>
      <c r="D3" s="8" t="n">
        <v>1.383</v>
      </c>
      <c r="E3" t="inlineStr">
        <is>
          <t>study</t>
        </is>
      </c>
    </row>
    <row r="4">
      <c r="A4" t="inlineStr">
        <is>
          <t>HL-GLASS_BURNOUT-Q2-A</t>
        </is>
      </c>
      <c r="B4" t="inlineStr">
        <is>
          <t>GLASS_BURNOUT</t>
        </is>
      </c>
      <c r="C4" t="inlineStr">
        <is>
          <t>Q2_A</t>
        </is>
      </c>
      <c r="D4" s="8" t="n">
        <v>0.928</v>
      </c>
      <c r="E4" t="inlineStr">
        <is>
          <t>study</t>
        </is>
      </c>
    </row>
    <row r="5">
      <c r="A5" t="inlineStr">
        <is>
          <t>HL-GLASS_BURNOUT-Q2-B</t>
        </is>
      </c>
      <c r="B5" t="inlineStr">
        <is>
          <t>GLASS_BURNOUT</t>
        </is>
      </c>
      <c r="C5" t="inlineStr">
        <is>
          <t>Q2_B</t>
        </is>
      </c>
      <c r="D5" s="8" t="n">
        <v>0.928</v>
      </c>
      <c r="E5" t="inlineStr">
        <is>
          <t>study</t>
        </is>
      </c>
    </row>
    <row r="6">
      <c r="A6" t="inlineStr">
        <is>
          <t>HL-HX8-Q4-A</t>
        </is>
      </c>
      <c r="B6" t="inlineStr">
        <is>
          <t>HX8</t>
        </is>
      </c>
      <c r="C6" t="inlineStr">
        <is>
          <t>Q4_A</t>
        </is>
      </c>
      <c r="D6" s="8" t="n">
        <v>2.286</v>
      </c>
      <c r="E6" t="inlineStr">
        <is>
          <t>study</t>
        </is>
      </c>
    </row>
    <row r="7">
      <c r="A7" t="inlineStr">
        <is>
          <t>HL-HX8-Q4-B</t>
        </is>
      </c>
      <c r="B7" t="inlineStr">
        <is>
          <t>HX8</t>
        </is>
      </c>
      <c r="C7" t="inlineStr">
        <is>
          <t>Q4_B</t>
        </is>
      </c>
      <c r="D7" s="8" t="n">
        <v>2.286</v>
      </c>
      <c r="E7" t="inlineStr">
        <is>
          <t>study</t>
        </is>
      </c>
    </row>
    <row r="8">
      <c r="A8" t="inlineStr">
        <is>
          <t>HL-Q1-A-DOWN</t>
        </is>
      </c>
      <c r="B8" t="inlineStr">
        <is>
          <t>Q1_A</t>
        </is>
      </c>
      <c r="C8" t="inlineStr">
        <is>
          <t>Q2_A</t>
        </is>
      </c>
      <c r="D8" s="8" t="n">
        <v>1.133</v>
      </c>
      <c r="E8" t="inlineStr">
        <is>
          <t>study</t>
        </is>
      </c>
    </row>
    <row r="9">
      <c r="A9" t="inlineStr">
        <is>
          <t>HL-Q1-B-DOWN</t>
        </is>
      </c>
      <c r="B9" t="inlineStr">
        <is>
          <t>Q1_B</t>
        </is>
      </c>
      <c r="C9" t="inlineStr">
        <is>
          <t>Q2_B</t>
        </is>
      </c>
      <c r="D9" s="8" t="n">
        <v>1.133</v>
      </c>
      <c r="E9" t="inlineStr">
        <is>
          <t>study</t>
        </is>
      </c>
    </row>
    <row r="10">
      <c r="A10" t="inlineStr">
        <is>
          <t>HL-Q1-X</t>
        </is>
      </c>
      <c r="B10" t="inlineStr">
        <is>
          <t>Q1_A</t>
        </is>
      </c>
      <c r="C10" t="inlineStr">
        <is>
          <t>Q1_B</t>
        </is>
      </c>
      <c r="D10" s="8" t="n">
        <v>1.383</v>
      </c>
      <c r="E10" t="inlineStr">
        <is>
          <t>study</t>
        </is>
      </c>
    </row>
    <row r="11">
      <c r="A11" t="inlineStr">
        <is>
          <t>HL-Q1-X-BA</t>
        </is>
      </c>
      <c r="B11" t="inlineStr">
        <is>
          <t>Q1_B</t>
        </is>
      </c>
      <c r="C11" t="inlineStr">
        <is>
          <t>Q1_A</t>
        </is>
      </c>
      <c r="D11" s="8" t="n">
        <v>1.383</v>
      </c>
      <c r="E11" t="inlineStr">
        <is>
          <t>study</t>
        </is>
      </c>
    </row>
    <row r="12">
      <c r="A12" t="inlineStr">
        <is>
          <t>HL-Q2-A-DOWN</t>
        </is>
      </c>
      <c r="B12" t="inlineStr">
        <is>
          <t>Q2_A</t>
        </is>
      </c>
      <c r="C12" t="inlineStr">
        <is>
          <t>Q3_A</t>
        </is>
      </c>
      <c r="D12" s="8" t="n">
        <v>1.891</v>
      </c>
      <c r="E12" t="inlineStr">
        <is>
          <t>study</t>
        </is>
      </c>
    </row>
    <row r="13">
      <c r="A13" t="inlineStr">
        <is>
          <t>HL-Q2-B-DOWN</t>
        </is>
      </c>
      <c r="B13" t="inlineStr">
        <is>
          <t>Q2_B</t>
        </is>
      </c>
      <c r="C13" t="inlineStr">
        <is>
          <t>Q3_B</t>
        </is>
      </c>
      <c r="D13" s="8" t="n">
        <v>1.891</v>
      </c>
      <c r="E13" t="inlineStr">
        <is>
          <t>study</t>
        </is>
      </c>
    </row>
    <row r="14">
      <c r="A14" t="inlineStr">
        <is>
          <t>HL-Q2-X</t>
        </is>
      </c>
      <c r="B14" t="inlineStr">
        <is>
          <t>Q2_A</t>
        </is>
      </c>
      <c r="C14" t="inlineStr">
        <is>
          <t>Q2_B</t>
        </is>
      </c>
      <c r="D14" s="8" t="n">
        <v>2.027</v>
      </c>
      <c r="E14" t="inlineStr">
        <is>
          <t>study</t>
        </is>
      </c>
    </row>
    <row r="15">
      <c r="A15" t="inlineStr">
        <is>
          <t>HL-Q2-X-BA</t>
        </is>
      </c>
      <c r="B15" t="inlineStr">
        <is>
          <t>Q2_B</t>
        </is>
      </c>
      <c r="C15" t="inlineStr">
        <is>
          <t>Q2_A</t>
        </is>
      </c>
      <c r="D15" s="8" t="n">
        <v>2.027</v>
      </c>
      <c r="E15" t="inlineStr">
        <is>
          <t>study</t>
        </is>
      </c>
    </row>
    <row r="16">
      <c r="A16" t="inlineStr">
        <is>
          <t>HL-Q3-A-DOWN</t>
        </is>
      </c>
      <c r="B16" t="inlineStr">
        <is>
          <t>Q3_A</t>
        </is>
      </c>
      <c r="C16" t="inlineStr">
        <is>
          <t>Q4_A</t>
        </is>
      </c>
      <c r="D16" s="8" t="n">
        <v>0</v>
      </c>
      <c r="E16" t="inlineStr">
        <is>
          <t>study</t>
        </is>
      </c>
    </row>
    <row r="17">
      <c r="A17" t="inlineStr">
        <is>
          <t>HL-Q3-A-HX4</t>
        </is>
      </c>
      <c r="B17" t="inlineStr">
        <is>
          <t>Q3_A</t>
        </is>
      </c>
      <c r="C17" t="inlineStr">
        <is>
          <t>OIL_DRYER</t>
        </is>
      </c>
      <c r="D17" s="8" t="n">
        <v>0.0553</v>
      </c>
      <c r="E17" t="inlineStr">
        <is>
          <t>study</t>
        </is>
      </c>
    </row>
    <row r="18">
      <c r="A18" t="inlineStr">
        <is>
          <t>HL-Q3-A-HX5</t>
        </is>
      </c>
      <c r="B18" t="inlineStr">
        <is>
          <t>Q3_A</t>
        </is>
      </c>
      <c r="C18" t="inlineStr">
        <is>
          <t>LEACH_CSTR_1</t>
        </is>
      </c>
      <c r="D18" s="8" t="n">
        <v>1.4548</v>
      </c>
      <c r="E18" t="inlineStr">
        <is>
          <t>study</t>
        </is>
      </c>
    </row>
    <row r="19">
      <c r="A19" t="inlineStr">
        <is>
          <t>HL-Q3-A-HX6</t>
        </is>
      </c>
      <c r="B19" t="inlineStr">
        <is>
          <t>Q3_A</t>
        </is>
      </c>
      <c r="C19" t="inlineStr">
        <is>
          <t>GLASS_DIGEST</t>
        </is>
      </c>
      <c r="D19" s="8" t="n">
        <v>0.3809</v>
      </c>
      <c r="E19" t="inlineStr">
        <is>
          <t>study</t>
        </is>
      </c>
    </row>
    <row r="20">
      <c r="A20" t="inlineStr">
        <is>
          <t>HL-Q3-B-DOWN</t>
        </is>
      </c>
      <c r="B20" t="inlineStr">
        <is>
          <t>Q3_B</t>
        </is>
      </c>
      <c r="C20" t="inlineStr">
        <is>
          <t>Q4_B</t>
        </is>
      </c>
      <c r="D20" s="8" t="n">
        <v>0</v>
      </c>
      <c r="E20" t="inlineStr">
        <is>
          <t>study</t>
        </is>
      </c>
    </row>
    <row r="21">
      <c r="A21" t="inlineStr">
        <is>
          <t>HL-Q3-B-HX4</t>
        </is>
      </c>
      <c r="B21" t="inlineStr">
        <is>
          <t>Q3_B</t>
        </is>
      </c>
      <c r="C21" t="inlineStr">
        <is>
          <t>OIL_DRYER</t>
        </is>
      </c>
      <c r="D21" s="8" t="n">
        <v>0.0553</v>
      </c>
      <c r="E21" t="inlineStr">
        <is>
          <t>study</t>
        </is>
      </c>
    </row>
    <row r="22">
      <c r="A22" t="inlineStr">
        <is>
          <t>HL-Q3-B-HX5</t>
        </is>
      </c>
      <c r="B22" t="inlineStr">
        <is>
          <t>Q3_B</t>
        </is>
      </c>
      <c r="C22" t="inlineStr">
        <is>
          <t>LEACH_CSTR_1</t>
        </is>
      </c>
      <c r="D22" s="8" t="n">
        <v>1.4548</v>
      </c>
      <c r="E22" t="inlineStr">
        <is>
          <t>study</t>
        </is>
      </c>
    </row>
    <row r="23">
      <c r="A23" t="inlineStr">
        <is>
          <t>HL-Q3-B-HX6</t>
        </is>
      </c>
      <c r="B23" t="inlineStr">
        <is>
          <t>Q3_B</t>
        </is>
      </c>
      <c r="C23" t="inlineStr">
        <is>
          <t>GLASS_DIGEST</t>
        </is>
      </c>
      <c r="D23" s="8" t="n">
        <v>0.3809</v>
      </c>
      <c r="E23" t="inlineStr">
        <is>
          <t>study</t>
        </is>
      </c>
    </row>
    <row r="24">
      <c r="A24" t="inlineStr">
        <is>
          <t>HL-Q3-X</t>
        </is>
      </c>
      <c r="B24" t="inlineStr">
        <is>
          <t>Q3_A</t>
        </is>
      </c>
      <c r="C24" t="inlineStr">
        <is>
          <t>Q3_B</t>
        </is>
      </c>
      <c r="D24" s="8" t="n">
        <v>1.831</v>
      </c>
      <c r="E24" t="inlineStr">
        <is>
          <t>study</t>
        </is>
      </c>
    </row>
    <row r="25">
      <c r="A25" t="inlineStr">
        <is>
          <t>HL-Q3-X-BA</t>
        </is>
      </c>
      <c r="B25" t="inlineStr">
        <is>
          <t>Q3_B</t>
        </is>
      </c>
      <c r="C25" t="inlineStr">
        <is>
          <t>Q3_A</t>
        </is>
      </c>
      <c r="D25" s="8" t="n">
        <v>1.831</v>
      </c>
      <c r="E25" t="inlineStr">
        <is>
          <t>study</t>
        </is>
      </c>
    </row>
    <row r="26">
      <c r="A26" t="inlineStr">
        <is>
          <t>HL-Q4-A-BUS</t>
        </is>
      </c>
      <c r="B26" t="inlineStr">
        <is>
          <t>Q4_A</t>
        </is>
      </c>
      <c r="C26" t="inlineStr">
        <is>
          <t>Q4_BUS</t>
        </is>
      </c>
      <c r="D26" s="8" t="n">
        <v>3.896</v>
      </c>
      <c r="E26" t="inlineStr">
        <is>
          <t>study</t>
        </is>
      </c>
    </row>
    <row r="27">
      <c r="A27" t="inlineStr">
        <is>
          <t>HL-Q4-B-BUS</t>
        </is>
      </c>
      <c r="B27" t="inlineStr">
        <is>
          <t>Q4_B</t>
        </is>
      </c>
      <c r="C27" t="inlineStr">
        <is>
          <t>Q4_BUS</t>
        </is>
      </c>
      <c r="D27" s="8" t="n">
        <v>3.896</v>
      </c>
      <c r="E27" t="inlineStr">
        <is>
          <t>study</t>
        </is>
      </c>
    </row>
    <row r="28">
      <c r="A28" t="inlineStr">
        <is>
          <t>HL-Q4-REJ</t>
        </is>
      </c>
      <c r="B28" t="inlineStr">
        <is>
          <t>Q4_BUS</t>
        </is>
      </c>
      <c r="C28" t="inlineStr">
        <is>
          <t>DRY_COOLER</t>
        </is>
      </c>
      <c r="D28" s="8" t="n">
        <v>0</v>
      </c>
      <c r="E28" t="inlineStr">
        <is>
          <t>study</t>
        </is>
      </c>
    </row>
    <row r="29">
      <c r="A29" t="inlineStr">
        <is>
          <t>HL-Q4-X</t>
        </is>
      </c>
      <c r="B29" t="inlineStr">
        <is>
          <t>Q4_A</t>
        </is>
      </c>
      <c r="C29" t="inlineStr">
        <is>
          <t>Q4_B</t>
        </is>
      </c>
      <c r="D29" s="8" t="n">
        <v>1.565</v>
      </c>
      <c r="E29" t="inlineStr">
        <is>
          <t>study</t>
        </is>
      </c>
    </row>
    <row r="30">
      <c r="A30" t="inlineStr">
        <is>
          <t>HL-Q4-X-BA</t>
        </is>
      </c>
      <c r="B30" t="inlineStr">
        <is>
          <t>Q4_B</t>
        </is>
      </c>
      <c r="C30" t="inlineStr">
        <is>
          <t>Q4_A</t>
        </is>
      </c>
      <c r="D30" s="8" t="n">
        <v>1.565</v>
      </c>
      <c r="E30" t="inlineStr">
        <is>
          <t>study</t>
        </is>
      </c>
    </row>
    <row r="31">
      <c r="A31" t="inlineStr">
        <is>
          <t>IA-ADS-CHW</t>
        </is>
      </c>
      <c r="B31" t="inlineStr">
        <is>
          <t>ADS_CHILL</t>
        </is>
      </c>
      <c r="C31" t="inlineStr">
        <is>
          <t>HABITATION</t>
        </is>
      </c>
      <c r="D31" s="8" t="n">
        <v>2.25</v>
      </c>
      <c r="E31" t="inlineStr">
        <is>
          <t>study</t>
        </is>
      </c>
    </row>
    <row r="32">
      <c r="A32" t="inlineStr">
        <is>
          <t>IA-ADS-REJ</t>
        </is>
      </c>
      <c r="B32" t="inlineStr">
        <is>
          <t>ADS_CHILL</t>
        </is>
      </c>
      <c r="C32" t="inlineStr">
        <is>
          <t>DRY_COOLER</t>
        </is>
      </c>
      <c r="D32" s="8" t="n">
        <v>7.25</v>
      </c>
      <c r="E32" t="inlineStr">
        <is>
          <t>study</t>
        </is>
      </c>
    </row>
    <row r="33">
      <c r="A33" t="inlineStr">
        <is>
          <t>IA-BMED-03-TRIM</t>
        </is>
      </c>
      <c r="B33" t="inlineStr">
        <is>
          <t>LEACH_CSTR_1</t>
        </is>
      </c>
      <c r="C33" t="inlineStr">
        <is>
          <t>GEO_GHEX</t>
        </is>
      </c>
      <c r="D33" s="8" t="n">
        <v>0.78</v>
      </c>
      <c r="E33" t="inlineStr">
        <is>
          <t>study</t>
        </is>
      </c>
    </row>
    <row r="34">
      <c r="A34" t="inlineStr">
        <is>
          <t>IA-BMED-04-TRIM</t>
        </is>
      </c>
      <c r="B34" t="inlineStr">
        <is>
          <t>LEACH_CSTR_1</t>
        </is>
      </c>
      <c r="C34" t="inlineStr">
        <is>
          <t>GEO_GHEX</t>
        </is>
      </c>
      <c r="D34" s="8" t="n">
        <v>1.027</v>
      </c>
      <c r="E34" t="inlineStr">
        <is>
          <t>study</t>
        </is>
      </c>
    </row>
    <row r="35">
      <c r="A35" t="inlineStr">
        <is>
          <t>IA-HX8</t>
        </is>
      </c>
      <c r="B35" t="inlineStr">
        <is>
          <t>EW_1</t>
        </is>
      </c>
      <c r="C35" t="inlineStr">
        <is>
          <t>HX8</t>
        </is>
      </c>
      <c r="D35" s="8" t="n">
        <v>4.572</v>
      </c>
      <c r="E35" t="inlineStr">
        <is>
          <t>study</t>
        </is>
      </c>
    </row>
    <row r="36">
      <c r="A36" t="inlineStr">
        <is>
          <t>IA-MAU-AIR</t>
        </is>
      </c>
      <c r="B36" t="inlineStr">
        <is>
          <t>MAU_HX</t>
        </is>
      </c>
      <c r="C36" t="inlineStr">
        <is>
          <t>HABITATION</t>
        </is>
      </c>
      <c r="D36" s="8" t="n">
        <v>12</v>
      </c>
      <c r="E36" t="inlineStr">
        <is>
          <t>study</t>
        </is>
      </c>
    </row>
    <row r="37">
      <c r="A37" t="inlineStr">
        <is>
          <t>IA-Q1A-LOSS</t>
        </is>
      </c>
      <c r="B37" t="inlineStr">
        <is>
          <t>Q1_A</t>
        </is>
      </c>
      <c r="C37" t="inlineStr">
        <is>
          <t>BOUNDARY_EXPORT</t>
        </is>
      </c>
      <c r="D37" s="8" t="n">
        <v>0.25</v>
      </c>
      <c r="E37" t="inlineStr">
        <is>
          <t>study</t>
        </is>
      </c>
    </row>
    <row r="38">
      <c r="A38" t="inlineStr">
        <is>
          <t>IA-Q1B-LOSS</t>
        </is>
      </c>
      <c r="B38" t="inlineStr">
        <is>
          <t>Q1_B</t>
        </is>
      </c>
      <c r="C38" t="inlineStr">
        <is>
          <t>BOUNDARY_EXPORT</t>
        </is>
      </c>
      <c r="D38" s="8" t="n">
        <v>0.25</v>
      </c>
      <c r="E38" t="inlineStr">
        <is>
          <t>study</t>
        </is>
      </c>
    </row>
    <row r="39">
      <c r="A39" t="inlineStr">
        <is>
          <t>IA-Q2A-LOSS</t>
        </is>
      </c>
      <c r="B39" t="inlineStr">
        <is>
          <t>Q2_A</t>
        </is>
      </c>
      <c r="C39" t="inlineStr">
        <is>
          <t>BOUNDARY_EXPORT</t>
        </is>
      </c>
      <c r="D39" s="8" t="n">
        <v>0.17</v>
      </c>
      <c r="E39" t="inlineStr">
        <is>
          <t>study</t>
        </is>
      </c>
    </row>
    <row r="40">
      <c r="A40" t="inlineStr">
        <is>
          <t>IA-Q2B-LOSS</t>
        </is>
      </c>
      <c r="B40" t="inlineStr">
        <is>
          <t>Q2_B</t>
        </is>
      </c>
      <c r="C40" t="inlineStr">
        <is>
          <t>BOUNDARY_EXPORT</t>
        </is>
      </c>
      <c r="D40" s="8" t="n">
        <v>0.17</v>
      </c>
      <c r="E40" t="inlineStr">
        <is>
          <t>study</t>
        </is>
      </c>
    </row>
    <row r="41">
      <c r="A41" t="inlineStr">
        <is>
          <t>IA-Q4-ADS</t>
        </is>
      </c>
      <c r="B41" t="inlineStr">
        <is>
          <t>Q4_BUS</t>
        </is>
      </c>
      <c r="C41" t="inlineStr">
        <is>
          <t>ADS_CHILL</t>
        </is>
      </c>
      <c r="D41" s="8" t="n">
        <v>5</v>
      </c>
      <c r="E41" t="inlineStr">
        <is>
          <t>study</t>
        </is>
      </c>
    </row>
    <row r="42">
      <c r="A42" t="inlineStr">
        <is>
          <t>IA-Q4-LIFE</t>
        </is>
      </c>
      <c r="B42" t="inlineStr">
        <is>
          <t>Q4_BUS</t>
        </is>
      </c>
      <c r="C42" t="inlineStr">
        <is>
          <t>HABITATION</t>
        </is>
      </c>
      <c r="D42" s="8" t="n">
        <v>3</v>
      </c>
      <c r="E42" t="inlineStr">
        <is>
          <t>study</t>
        </is>
      </c>
    </row>
    <row r="43">
      <c r="A43" t="inlineStr">
        <is>
          <t>IA-Q4-MAU</t>
        </is>
      </c>
      <c r="B43" t="inlineStr">
        <is>
          <t>Q4_BUS</t>
        </is>
      </c>
      <c r="C43" t="inlineStr">
        <is>
          <t>MAU_HX</t>
        </is>
      </c>
      <c r="D43" s="8" t="n">
        <v>12</v>
      </c>
      <c r="E43" t="inlineStr">
        <is>
          <t>study</t>
        </is>
      </c>
    </row>
    <row r="44">
      <c r="A44" t="inlineStr">
        <is>
          <t>IA-Q4A-TRIM</t>
        </is>
      </c>
      <c r="B44" t="inlineStr">
        <is>
          <t>RECTIFIER</t>
        </is>
      </c>
      <c r="C44" t="inlineStr">
        <is>
          <t>Q4_A</t>
        </is>
      </c>
      <c r="D44" s="8" t="n">
        <v>1.61</v>
      </c>
      <c r="E44" t="inlineStr">
        <is>
          <t>study</t>
        </is>
      </c>
    </row>
    <row r="45">
      <c r="A45" t="inlineStr">
        <is>
          <t>IA-Q4B-TRIM</t>
        </is>
      </c>
      <c r="B45" t="inlineStr">
        <is>
          <t>RECTIFIER</t>
        </is>
      </c>
      <c r="C45" t="inlineStr">
        <is>
          <t>Q4_B</t>
        </is>
      </c>
      <c r="D45" s="8" t="n">
        <v>1.61</v>
      </c>
      <c r="E45" t="inlineStr">
        <is>
          <t>study</t>
        </is>
      </c>
    </row>
    <row r="46">
      <c r="A46" t="inlineStr">
        <is>
          <t>IA-RECT-Q4</t>
        </is>
      </c>
      <c r="B46" t="inlineStr">
        <is>
          <t>RECTIFIER</t>
        </is>
      </c>
      <c r="C46" t="inlineStr">
        <is>
          <t>Q4_BUS</t>
        </is>
      </c>
      <c r="D46" s="8" t="n">
        <v>1</v>
      </c>
      <c r="E46" t="inlineStr">
        <is>
          <t>study</t>
        </is>
      </c>
    </row>
    <row r="47">
      <c r="A47" t="inlineStr">
        <is>
          <t>IA-TRIM-HX5</t>
        </is>
      </c>
      <c r="B47" t="inlineStr">
        <is>
          <t>RECTIFIER</t>
        </is>
      </c>
      <c r="C47" t="inlineStr">
        <is>
          <t>LEACH_CSTR_1</t>
        </is>
      </c>
      <c r="D47" s="8" t="n">
        <v>15.882</v>
      </c>
      <c r="E47" t="inlineStr">
        <is>
          <t>study</t>
        </is>
      </c>
    </row>
    <row r="48">
      <c r="A48" t="inlineStr">
        <is>
          <t>IA-TRIM-HX6</t>
        </is>
      </c>
      <c r="B48" t="inlineStr">
        <is>
          <t>RECTIFIER</t>
        </is>
      </c>
      <c r="C48" t="inlineStr">
        <is>
          <t>GLASS_DIGEST</t>
        </is>
      </c>
      <c r="D48" s="8" t="n">
        <v>4.158</v>
      </c>
      <c r="E48" t="inlineStr">
        <is>
          <t>study</t>
        </is>
      </c>
    </row>
    <row r="49">
      <c r="A49" t="inlineStr">
        <is>
          <t>IA-ZNBR-HEAT</t>
        </is>
      </c>
      <c r="B49" t="inlineStr">
        <is>
          <t>ZNBR2</t>
        </is>
      </c>
      <c r="C49" t="inlineStr">
        <is>
          <t>Q4_BUS</t>
        </is>
      </c>
      <c r="D49" s="8" t="n">
        <v>1.67</v>
      </c>
      <c r="E49" t="inlineStr">
        <is>
          <t>study</t>
        </is>
      </c>
    </row>
    <row r="50">
      <c r="A50" t="inlineStr">
        <is>
          <t>IND_HEAT_TO_HX</t>
        </is>
      </c>
      <c r="B50" t="inlineStr">
        <is>
          <t>IND_MELT</t>
        </is>
      </c>
      <c r="C50" t="inlineStr">
        <is>
          <t>MET_HX_Q4</t>
        </is>
      </c>
      <c r="D50" s="8" t="n">
        <v>1.063</v>
      </c>
      <c r="E50" t="inlineStr">
        <is>
          <t>study</t>
        </is>
      </c>
    </row>
    <row r="51">
      <c r="A51" t="inlineStr">
        <is>
          <t>S100</t>
        </is>
      </c>
      <c r="B51" t="inlineStr">
        <is>
          <t>Q4_BUS</t>
        </is>
      </c>
      <c r="C51" t="inlineStr">
        <is>
          <t>LEACH_CSTR_1</t>
        </is>
      </c>
      <c r="D51" s="8" t="n">
        <v>0.5322</v>
      </c>
      <c r="E51" t="inlineStr">
        <is>
          <t>study</t>
        </is>
      </c>
    </row>
    <row r="52">
      <c r="A52" t="inlineStr">
        <is>
          <t>S101</t>
        </is>
      </c>
      <c r="B52" t="inlineStr">
        <is>
          <t>Q4_BUS</t>
        </is>
      </c>
      <c r="C52" t="inlineStr">
        <is>
          <t>GLASS_DIGEST</t>
        </is>
      </c>
      <c r="D52" s="8" t="n">
        <v>0.2822</v>
      </c>
      <c r="E52" t="inlineStr">
        <is>
          <t>study</t>
        </is>
      </c>
    </row>
    <row r="53">
      <c r="A53" t="inlineStr">
        <is>
          <t>S43</t>
        </is>
      </c>
      <c r="B53" t="inlineStr">
        <is>
          <t>GEO_GHEX</t>
        </is>
      </c>
      <c r="C53" t="inlineStr">
        <is>
          <t>GEO_HP_CLOSED_LOOP</t>
        </is>
      </c>
      <c r="D53" s="8" t="n">
        <v>0</v>
      </c>
      <c r="E53" t="inlineStr">
        <is>
          <t>study</t>
        </is>
      </c>
    </row>
    <row r="54">
      <c r="A54" t="inlineStr">
        <is>
          <t>S44</t>
        </is>
      </c>
      <c r="B54" t="inlineStr">
        <is>
          <t>GEO_HP</t>
        </is>
      </c>
      <c r="C54" t="inlineStr">
        <is>
          <t>Q4_BUS</t>
        </is>
      </c>
      <c r="D54" s="8" t="n">
        <v>2.1952</v>
      </c>
      <c r="E54" t="inlineStr">
        <is>
          <t>study</t>
        </is>
      </c>
    </row>
    <row r="55">
      <c r="A55" t="inlineStr">
        <is>
          <t>S53</t>
        </is>
      </c>
      <c r="B55" t="inlineStr">
        <is>
          <t>FUEL_CELL</t>
        </is>
      </c>
      <c r="C55" t="inlineStr">
        <is>
          <t>Q4_BUS</t>
        </is>
      </c>
      <c r="D55" s="8" t="n">
        <v>1.1419</v>
      </c>
      <c r="E55" t="inlineStr">
        <is>
          <t>study</t>
        </is>
      </c>
    </row>
    <row r="56">
      <c r="A56" t="inlineStr">
        <is>
          <t>S54</t>
        </is>
      </c>
      <c r="B56" t="inlineStr">
        <is>
          <t>CRYO_HX_Q4</t>
        </is>
      </c>
      <c r="C56" t="inlineStr">
        <is>
          <t>Q4_BUS</t>
        </is>
      </c>
      <c r="D56" s="8" t="n">
        <v>0.5448</v>
      </c>
      <c r="E56" t="inlineStr">
        <is>
          <t>study</t>
        </is>
      </c>
    </row>
    <row r="57">
      <c r="A57" t="inlineStr">
        <is>
          <t>S55</t>
        </is>
      </c>
      <c r="B57" t="inlineStr">
        <is>
          <t>CRYO_DED_COOL</t>
        </is>
      </c>
      <c r="C57" t="inlineStr">
        <is>
          <t>CRYO_DED_COOL</t>
        </is>
      </c>
      <c r="D57" s="8" t="n">
        <v>4.2838</v>
      </c>
      <c r="E57" t="inlineStr">
        <is>
          <t>study</t>
        </is>
      </c>
    </row>
    <row r="58">
      <c r="A58" t="inlineStr">
        <is>
          <t>S63</t>
        </is>
      </c>
      <c r="B58" t="inlineStr">
        <is>
          <t>MET_HX_Q4</t>
        </is>
      </c>
      <c r="C58" t="inlineStr">
        <is>
          <t>Q4_BUS</t>
        </is>
      </c>
      <c r="D58" s="8" t="n">
        <v>0.0171</v>
      </c>
      <c r="E58" t="inlineStr">
        <is>
          <t>study</t>
        </is>
      </c>
    </row>
    <row r="59">
      <c r="A59" t="inlineStr">
        <is>
          <t>S80</t>
        </is>
      </c>
      <c r="B59" t="inlineStr">
        <is>
          <t>MEOH_FC</t>
        </is>
      </c>
      <c r="C59" t="inlineStr">
        <is>
          <t>Q4_BUS</t>
        </is>
      </c>
      <c r="D59" s="8" t="n">
        <v>0.3689</v>
      </c>
      <c r="E59" t="inlineStr">
        <is>
          <t>study</t>
        </is>
      </c>
    </row>
    <row r="60">
      <c r="A60" t="inlineStr">
        <is>
          <t>SQ-H2O_ELYZ-Q4</t>
        </is>
      </c>
      <c r="B60" t="inlineStr">
        <is>
          <t>H2O_ELYZ</t>
        </is>
      </c>
      <c r="C60" t="inlineStr">
        <is>
          <t>Q4_BUS</t>
        </is>
      </c>
      <c r="D60" s="8" t="n">
        <v>6.0845</v>
      </c>
      <c r="E60" t="inlineStr">
        <is>
          <t>study</t>
        </is>
      </c>
    </row>
    <row r="61">
      <c r="A61" t="inlineStr">
        <is>
          <t>VAC_HEAT_TO_HX</t>
        </is>
      </c>
      <c r="B61" t="inlineStr">
        <is>
          <t>VAC_IND</t>
        </is>
      </c>
      <c r="C61" t="inlineStr">
        <is>
          <t>MET_HX_Q4</t>
        </is>
      </c>
      <c r="D61" s="8" t="n">
        <v>0.638</v>
      </c>
      <c r="E61" t="inlineStr">
        <is>
          <t>study</t>
        </is>
      </c>
    </row>
    <row r="63">
      <c r="A63" s="9" t="inlineStr">
        <is>
          <t>STORE BALANCE (SUMIF over the ledger edges; the X-THM-01 tolerance is 0.01 kW)</t>
        </is>
      </c>
    </row>
    <row r="64">
      <c r="A64" s="3" t="inlineStr">
        <is>
          <t>unit</t>
        </is>
      </c>
      <c r="B64" s="3" t="inlineStr">
        <is>
          <t>in_kW</t>
        </is>
      </c>
      <c r="C64" s="3" t="inlineStr">
        <is>
          <t>out_kW</t>
        </is>
      </c>
      <c r="D64" s="3" t="inlineStr">
        <is>
          <t>net_kW</t>
        </is>
      </c>
    </row>
    <row r="65">
      <c r="A65" t="inlineStr">
        <is>
          <t>Q1_A</t>
        </is>
      </c>
      <c r="B65" s="5">
        <f>SUMIF($C$2:$C$61,A65,$D$2:$D$61)</f>
        <v/>
      </c>
      <c r="C65" s="5">
        <f>SUMIF($B$2:$B$61,A65,$D$2:$D$61)</f>
        <v/>
      </c>
      <c r="D65" s="5">
        <f>B65-C65</f>
        <v/>
      </c>
    </row>
    <row r="66">
      <c r="A66" t="inlineStr">
        <is>
          <t>Q1_B</t>
        </is>
      </c>
      <c r="B66" s="5">
        <f>SUMIF($C$2:$C$61,A66,$D$2:$D$61)</f>
        <v/>
      </c>
      <c r="C66" s="5">
        <f>SUMIF($B$2:$B$61,A66,$D$2:$D$61)</f>
        <v/>
      </c>
      <c r="D66" s="5">
        <f>B66-C66</f>
        <v/>
      </c>
    </row>
    <row r="67">
      <c r="A67" t="inlineStr">
        <is>
          <t>Q2_A</t>
        </is>
      </c>
      <c r="B67" s="5">
        <f>SUMIF($C$2:$C$61,A67,$D$2:$D$61)</f>
        <v/>
      </c>
      <c r="C67" s="5">
        <f>SUMIF($B$2:$B$61,A67,$D$2:$D$61)</f>
        <v/>
      </c>
      <c r="D67" s="5">
        <f>B67-C67</f>
        <v/>
      </c>
    </row>
    <row r="68">
      <c r="A68" t="inlineStr">
        <is>
          <t>Q2_B</t>
        </is>
      </c>
      <c r="B68" s="5">
        <f>SUMIF($C$2:$C$61,A68,$D$2:$D$61)</f>
        <v/>
      </c>
      <c r="C68" s="5">
        <f>SUMIF($B$2:$B$61,A68,$D$2:$D$61)</f>
        <v/>
      </c>
      <c r="D68" s="5">
        <f>B68-C68</f>
        <v/>
      </c>
    </row>
    <row r="69">
      <c r="A69" t="inlineStr">
        <is>
          <t>Q3_A</t>
        </is>
      </c>
      <c r="B69" s="5">
        <f>SUMIF($C$2:$C$61,A69,$D$2:$D$61)</f>
        <v/>
      </c>
      <c r="C69" s="5">
        <f>SUMIF($B$2:$B$61,A69,$D$2:$D$61)</f>
        <v/>
      </c>
      <c r="D69" s="5">
        <f>B69-C69</f>
        <v/>
      </c>
    </row>
    <row r="70">
      <c r="A70" t="inlineStr">
        <is>
          <t>Q3_B</t>
        </is>
      </c>
      <c r="B70" s="5">
        <f>SUMIF($C$2:$C$61,A70,$D$2:$D$61)</f>
        <v/>
      </c>
      <c r="C70" s="5">
        <f>SUMIF($B$2:$B$61,A70,$D$2:$D$61)</f>
        <v/>
      </c>
      <c r="D70" s="5">
        <f>B70-C70</f>
        <v/>
      </c>
    </row>
    <row r="71">
      <c r="A71" t="inlineStr">
        <is>
          <t>Q4_A</t>
        </is>
      </c>
      <c r="B71" s="5">
        <f>SUMIF($C$2:$C$61,A71,$D$2:$D$61)</f>
        <v/>
      </c>
      <c r="C71" s="5">
        <f>SUMIF($B$2:$B$61,A71,$D$2:$D$61)</f>
        <v/>
      </c>
      <c r="D71" s="5">
        <f>B71-C71</f>
        <v/>
      </c>
    </row>
    <row r="72">
      <c r="A72" t="inlineStr">
        <is>
          <t>Q4_B</t>
        </is>
      </c>
      <c r="B72" s="5">
        <f>SUMIF($C$2:$C$61,A72,$D$2:$D$61)</f>
        <v/>
      </c>
      <c r="C72" s="5">
        <f>SUMIF($B$2:$B$61,A72,$D$2:$D$61)</f>
        <v/>
      </c>
      <c r="D72" s="5">
        <f>B72-C72</f>
        <v/>
      </c>
    </row>
    <row r="73">
      <c r="A73" t="inlineStr">
        <is>
          <t>Q4_BUS</t>
        </is>
      </c>
      <c r="B73" s="5">
        <f>SUMIF($C$2:$C$61,A73,$D$2:$D$61)</f>
        <v/>
      </c>
      <c r="C73" s="5">
        <f>SUMIF($B$2:$B$61,A73,$D$2:$D$61)</f>
        <v/>
      </c>
      <c r="D73" s="5">
        <f>B73-C73</f>
        <v/>
      </c>
    </row>
    <row r="74">
      <c r="A74" t="inlineStr">
        <is>
          <t>ADS_CHILL</t>
        </is>
      </c>
      <c r="B74" s="5">
        <f>SUMIF($C$2:$C$61,A74,$D$2:$D$61)</f>
        <v/>
      </c>
      <c r="C74" s="5">
        <f>SUMIF($B$2:$B$61,A74,$D$2:$D$61)</f>
        <v/>
      </c>
      <c r="D74" s="5">
        <f>B74-C74</f>
        <v/>
      </c>
    </row>
    <row r="75">
      <c r="A75" t="inlineStr">
        <is>
          <t>AFTERBURNER</t>
        </is>
      </c>
      <c r="B75" s="5">
        <f>SUMIF($C$2:$C$61,A75,$D$2:$D$61)</f>
        <v/>
      </c>
      <c r="C75" s="5">
        <f>SUMIF($B$2:$B$61,A75,$D$2:$D$61)</f>
        <v/>
      </c>
      <c r="D75" s="5">
        <f>B75-C75</f>
        <v/>
      </c>
    </row>
    <row r="76">
      <c r="A76" t="inlineStr">
        <is>
          <t>BOUNDARY_EXPORT</t>
        </is>
      </c>
      <c r="B76" s="5">
        <f>SUMIF($C$2:$C$61,A76,$D$2:$D$61)</f>
        <v/>
      </c>
      <c r="C76" s="5">
        <f>SUMIF($B$2:$B$61,A76,$D$2:$D$61)</f>
        <v/>
      </c>
      <c r="D76" s="5">
        <f>B76-C76</f>
        <v/>
      </c>
    </row>
    <row r="77">
      <c r="A77" t="inlineStr">
        <is>
          <t>CRYO_DED_COOL</t>
        </is>
      </c>
      <c r="B77" s="5">
        <f>SUMIF($C$2:$C$61,A77,$D$2:$D$61)</f>
        <v/>
      </c>
      <c r="C77" s="5">
        <f>SUMIF($B$2:$B$61,A77,$D$2:$D$61)</f>
        <v/>
      </c>
      <c r="D77" s="5">
        <f>B77-C77</f>
        <v/>
      </c>
    </row>
    <row r="78">
      <c r="A78" t="inlineStr">
        <is>
          <t>CRYO_HX_Q4</t>
        </is>
      </c>
      <c r="B78" s="5">
        <f>SUMIF($C$2:$C$61,A78,$D$2:$D$61)</f>
        <v/>
      </c>
      <c r="C78" s="5">
        <f>SUMIF($B$2:$B$61,A78,$D$2:$D$61)</f>
        <v/>
      </c>
      <c r="D78" s="5">
        <f>B78-C78</f>
        <v/>
      </c>
    </row>
    <row r="79">
      <c r="A79" t="inlineStr">
        <is>
          <t>DRY_COOLER</t>
        </is>
      </c>
      <c r="B79" s="5">
        <f>SUMIF($C$2:$C$61,A79,$D$2:$D$61)</f>
        <v/>
      </c>
      <c r="C79" s="5">
        <f>SUMIF($B$2:$B$61,A79,$D$2:$D$61)</f>
        <v/>
      </c>
      <c r="D79" s="5">
        <f>B79-C79</f>
        <v/>
      </c>
    </row>
    <row r="80">
      <c r="A80" t="inlineStr">
        <is>
          <t>EW_1</t>
        </is>
      </c>
      <c r="B80" s="5">
        <f>SUMIF($C$2:$C$61,A80,$D$2:$D$61)</f>
        <v/>
      </c>
      <c r="C80" s="5">
        <f>SUMIF($B$2:$B$61,A80,$D$2:$D$61)</f>
        <v/>
      </c>
      <c r="D80" s="5">
        <f>B80-C80</f>
        <v/>
      </c>
    </row>
    <row r="81">
      <c r="A81" t="inlineStr">
        <is>
          <t>FUEL_CELL</t>
        </is>
      </c>
      <c r="B81" s="5">
        <f>SUMIF($C$2:$C$61,A81,$D$2:$D$61)</f>
        <v/>
      </c>
      <c r="C81" s="5">
        <f>SUMIF($B$2:$B$61,A81,$D$2:$D$61)</f>
        <v/>
      </c>
      <c r="D81" s="5">
        <f>B81-C81</f>
        <v/>
      </c>
    </row>
    <row r="82">
      <c r="A82" t="inlineStr">
        <is>
          <t>GEO_GHEX</t>
        </is>
      </c>
      <c r="B82" s="5">
        <f>SUMIF($C$2:$C$61,A82,$D$2:$D$61)</f>
        <v/>
      </c>
      <c r="C82" s="5">
        <f>SUMIF($B$2:$B$61,A82,$D$2:$D$61)</f>
        <v/>
      </c>
      <c r="D82" s="5">
        <f>B82-C82</f>
        <v/>
      </c>
    </row>
    <row r="83">
      <c r="A83" t="inlineStr">
        <is>
          <t>GEO_HP</t>
        </is>
      </c>
      <c r="B83" s="5">
        <f>SUMIF($C$2:$C$61,A83,$D$2:$D$61)</f>
        <v/>
      </c>
      <c r="C83" s="5">
        <f>SUMIF($B$2:$B$61,A83,$D$2:$D$61)</f>
        <v/>
      </c>
      <c r="D83" s="5">
        <f>B83-C83</f>
        <v/>
      </c>
    </row>
    <row r="84">
      <c r="A84" t="inlineStr">
        <is>
          <t>GEO_HP_CLOSED_LOOP</t>
        </is>
      </c>
      <c r="B84" s="5">
        <f>SUMIF($C$2:$C$61,A84,$D$2:$D$61)</f>
        <v/>
      </c>
      <c r="C84" s="5">
        <f>SUMIF($B$2:$B$61,A84,$D$2:$D$61)</f>
        <v/>
      </c>
      <c r="D84" s="5">
        <f>B84-C84</f>
        <v/>
      </c>
    </row>
    <row r="85">
      <c r="A85" t="inlineStr">
        <is>
          <t>GLASS_BURNOUT</t>
        </is>
      </c>
      <c r="B85" s="5">
        <f>SUMIF($C$2:$C$61,A85,$D$2:$D$61)</f>
        <v/>
      </c>
      <c r="C85" s="5">
        <f>SUMIF($B$2:$B$61,A85,$D$2:$D$61)</f>
        <v/>
      </c>
      <c r="D85" s="5">
        <f>B85-C85</f>
        <v/>
      </c>
    </row>
    <row r="86">
      <c r="A86" t="inlineStr">
        <is>
          <t>GLASS_DIGEST</t>
        </is>
      </c>
      <c r="B86" s="5">
        <f>SUMIF($C$2:$C$61,A86,$D$2:$D$61)</f>
        <v/>
      </c>
      <c r="C86" s="5">
        <f>SUMIF($B$2:$B$61,A86,$D$2:$D$61)</f>
        <v/>
      </c>
      <c r="D86" s="5">
        <f>B86-C86</f>
        <v/>
      </c>
    </row>
    <row r="87">
      <c r="A87" t="inlineStr">
        <is>
          <t>H2O_ELYZ</t>
        </is>
      </c>
      <c r="B87" s="5">
        <f>SUMIF($C$2:$C$61,A87,$D$2:$D$61)</f>
        <v/>
      </c>
      <c r="C87" s="5">
        <f>SUMIF($B$2:$B$61,A87,$D$2:$D$61)</f>
        <v/>
      </c>
      <c r="D87" s="5">
        <f>B87-C87</f>
        <v/>
      </c>
    </row>
    <row r="88">
      <c r="A88" t="inlineStr">
        <is>
          <t>HABITATION</t>
        </is>
      </c>
      <c r="B88" s="5">
        <f>SUMIF($C$2:$C$61,A88,$D$2:$D$61)</f>
        <v/>
      </c>
      <c r="C88" s="5">
        <f>SUMIF($B$2:$B$61,A88,$D$2:$D$61)</f>
        <v/>
      </c>
      <c r="D88" s="5">
        <f>B88-C88</f>
        <v/>
      </c>
    </row>
    <row r="89">
      <c r="A89" t="inlineStr">
        <is>
          <t>HX8</t>
        </is>
      </c>
      <c r="B89" s="5">
        <f>SUMIF($C$2:$C$61,A89,$D$2:$D$61)</f>
        <v/>
      </c>
      <c r="C89" s="5">
        <f>SUMIF($B$2:$B$61,A89,$D$2:$D$61)</f>
        <v/>
      </c>
      <c r="D89" s="5">
        <f>B89-C89</f>
        <v/>
      </c>
    </row>
    <row r="90">
      <c r="A90" t="inlineStr">
        <is>
          <t>IND_MELT</t>
        </is>
      </c>
      <c r="B90" s="5">
        <f>SUMIF($C$2:$C$61,A90,$D$2:$D$61)</f>
        <v/>
      </c>
      <c r="C90" s="5">
        <f>SUMIF($B$2:$B$61,A90,$D$2:$D$61)</f>
        <v/>
      </c>
      <c r="D90" s="5">
        <f>B90-C90</f>
        <v/>
      </c>
    </row>
    <row r="91">
      <c r="A91" t="inlineStr">
        <is>
          <t>LEACH_CSTR_1</t>
        </is>
      </c>
      <c r="B91" s="5">
        <f>SUMIF($C$2:$C$61,A91,$D$2:$D$61)</f>
        <v/>
      </c>
      <c r="C91" s="5">
        <f>SUMIF($B$2:$B$61,A91,$D$2:$D$61)</f>
        <v/>
      </c>
      <c r="D91" s="5">
        <f>B91-C91</f>
        <v/>
      </c>
    </row>
    <row r="92">
      <c r="A92" t="inlineStr">
        <is>
          <t>MAU_HX</t>
        </is>
      </c>
      <c r="B92" s="5">
        <f>SUMIF($C$2:$C$61,A92,$D$2:$D$61)</f>
        <v/>
      </c>
      <c r="C92" s="5">
        <f>SUMIF($B$2:$B$61,A92,$D$2:$D$61)</f>
        <v/>
      </c>
      <c r="D92" s="5">
        <f>B92-C92</f>
        <v/>
      </c>
    </row>
    <row r="93">
      <c r="A93" t="inlineStr">
        <is>
          <t>MEOH_FC</t>
        </is>
      </c>
      <c r="B93" s="5">
        <f>SUMIF($C$2:$C$61,A93,$D$2:$D$61)</f>
        <v/>
      </c>
      <c r="C93" s="5">
        <f>SUMIF($B$2:$B$61,A93,$D$2:$D$61)</f>
        <v/>
      </c>
      <c r="D93" s="5">
        <f>B93-C93</f>
        <v/>
      </c>
    </row>
    <row r="94">
      <c r="A94" t="inlineStr">
        <is>
          <t>MET_HX_Q4</t>
        </is>
      </c>
      <c r="B94" s="5">
        <f>SUMIF($C$2:$C$61,A94,$D$2:$D$61)</f>
        <v/>
      </c>
      <c r="C94" s="5">
        <f>SUMIF($B$2:$B$61,A94,$D$2:$D$61)</f>
        <v/>
      </c>
      <c r="D94" s="5">
        <f>B94-C94</f>
        <v/>
      </c>
    </row>
    <row r="95">
      <c r="A95" t="inlineStr">
        <is>
          <t>OIL_DRYER</t>
        </is>
      </c>
      <c r="B95" s="5">
        <f>SUMIF($C$2:$C$61,A95,$D$2:$D$61)</f>
        <v/>
      </c>
      <c r="C95" s="5">
        <f>SUMIF($B$2:$B$61,A95,$D$2:$D$61)</f>
        <v/>
      </c>
      <c r="D95" s="5">
        <f>B95-C95</f>
        <v/>
      </c>
    </row>
    <row r="96">
      <c r="A96" t="inlineStr">
        <is>
          <t>RECTIFIER</t>
        </is>
      </c>
      <c r="B96" s="5">
        <f>SUMIF($C$2:$C$61,A96,$D$2:$D$61)</f>
        <v/>
      </c>
      <c r="C96" s="5">
        <f>SUMIF($B$2:$B$61,A96,$D$2:$D$61)</f>
        <v/>
      </c>
      <c r="D96" s="5">
        <f>B96-C96</f>
        <v/>
      </c>
    </row>
    <row r="97">
      <c r="A97" t="inlineStr">
        <is>
          <t>VAC_IND</t>
        </is>
      </c>
      <c r="B97" s="5">
        <f>SUMIF($C$2:$C$61,A97,$D$2:$D$61)</f>
        <v/>
      </c>
      <c r="C97" s="5">
        <f>SUMIF($B$2:$B$61,A97,$D$2:$D$61)</f>
        <v/>
      </c>
      <c r="D97" s="5">
        <f>B97-C97</f>
        <v/>
      </c>
    </row>
    <row r="98">
      <c r="A98" t="inlineStr">
        <is>
          <t>ZNBR2</t>
        </is>
      </c>
      <c r="B98" s="5">
        <f>SUMIF($C$2:$C$61,A98,$D$2:$D$61)</f>
        <v/>
      </c>
      <c r="C98" s="5">
        <f>SUMIF($B$2:$B$61,A98,$D$2:$D$61)</f>
        <v/>
      </c>
      <c r="D98" s="5">
        <f>B98-C98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8" customWidth="1" min="3" max="3"/>
    <col width="10" customWidth="1" min="4" max="4"/>
    <col width="12" customWidth="1" min="5" max="5"/>
    <col width="16" customWidth="1" min="6" max="6"/>
    <col width="9" customWidth="1" min="7" max="7"/>
    <col width="13" customWidth="1" min="8" max="8"/>
  </cols>
  <sheetData>
    <row r="1">
      <c r="A1" s="3" t="inlineStr">
        <is>
          <t>unit_id</t>
        </is>
      </c>
      <c r="B1" s="3" t="inlineStr">
        <is>
          <t>continuous_kw</t>
        </is>
      </c>
      <c r="C1" s="3" t="inlineStr">
        <is>
          <t>kw_unit</t>
        </is>
      </c>
      <c r="D1" s="3" t="inlineStr">
        <is>
          <t>kw_status</t>
        </is>
      </c>
      <c r="E1" s="3" t="inlineStr">
        <is>
          <t>presence</t>
        </is>
      </c>
      <c r="F1" s="3" t="inlineStr">
        <is>
          <t>class</t>
        </is>
      </c>
      <c r="G1" s="3" t="inlineStr">
        <is>
          <t>enabled</t>
        </is>
      </c>
      <c r="H1" s="3" t="inlineStr">
        <is>
          <t>graph_sector</t>
        </is>
      </c>
    </row>
    <row r="2">
      <c r="A2" t="inlineStr">
        <is>
          <t>BMED_ACID</t>
        </is>
      </c>
      <c r="B2" s="8" t="n">
        <v>5.6267</v>
      </c>
      <c r="C2" t="inlineStr">
        <is>
          <t>kW</t>
        </is>
      </c>
      <c r="D2" t="inlineStr">
        <is>
          <t>study</t>
        </is>
      </c>
      <c r="E2" t="inlineStr">
        <is>
          <t>present</t>
        </is>
      </c>
      <c r="F2" t="inlineStr">
        <is>
          <t>bmed</t>
        </is>
      </c>
      <c r="G2" t="b">
        <v>1</v>
      </c>
      <c r="H2" t="inlineStr">
        <is>
          <t>DIGESTER</t>
        </is>
      </c>
    </row>
    <row r="3">
      <c r="A3" t="inlineStr">
        <is>
          <t>BMED_BASE</t>
        </is>
      </c>
      <c r="E3" t="inlineStr">
        <is>
          <t>present</t>
        </is>
      </c>
      <c r="F3" t="inlineStr">
        <is>
          <t>bmed</t>
        </is>
      </c>
      <c r="G3" t="b">
        <v>1</v>
      </c>
      <c r="H3" t="inlineStr">
        <is>
          <t>DIGESTER</t>
        </is>
      </c>
    </row>
    <row r="4">
      <c r="A4" t="inlineStr">
        <is>
          <t>CONTINUOUS_RECYCLE</t>
        </is>
      </c>
      <c r="E4" t="inlineStr">
        <is>
          <t>present</t>
        </is>
      </c>
      <c r="F4" t="inlineStr">
        <is>
          <t>recycle_pipe</t>
        </is>
      </c>
      <c r="G4" t="b">
        <v>1</v>
      </c>
      <c r="H4" t="inlineStr">
        <is>
          <t>DIGESTER</t>
        </is>
      </c>
    </row>
    <row r="5">
      <c r="A5" t="inlineStr">
        <is>
          <t>CRU</t>
        </is>
      </c>
      <c r="E5" t="inlineStr">
        <is>
          <t>present</t>
        </is>
      </c>
      <c r="F5" t="inlineStr">
        <is>
          <t>cru</t>
        </is>
      </c>
      <c r="G5" t="b">
        <v>1</v>
      </c>
      <c r="H5" t="inlineStr">
        <is>
          <t>DIGESTER</t>
        </is>
      </c>
    </row>
    <row r="6">
      <c r="A6" t="inlineStr">
        <is>
          <t>EVAP_ACID</t>
        </is>
      </c>
      <c r="B6" s="8" t="n">
        <v>1.498</v>
      </c>
      <c r="C6" t="inlineStr">
        <is>
          <t>kW</t>
        </is>
      </c>
      <c r="D6" t="inlineStr">
        <is>
          <t>study</t>
        </is>
      </c>
      <c r="E6" t="inlineStr">
        <is>
          <t>present</t>
        </is>
      </c>
      <c r="F6" t="inlineStr">
        <is>
          <t>evaporator</t>
        </is>
      </c>
      <c r="G6" t="b">
        <v>1</v>
      </c>
      <c r="H6" t="inlineStr">
        <is>
          <t>DIGESTER</t>
        </is>
      </c>
    </row>
    <row r="7">
      <c r="A7" t="inlineStr">
        <is>
          <t>EVAP_ACID_VS</t>
        </is>
      </c>
      <c r="B7" s="8" t="n">
        <v>0.0238</v>
      </c>
      <c r="C7" t="inlineStr">
        <is>
          <t>kW</t>
        </is>
      </c>
      <c r="D7" t="inlineStr">
        <is>
          <t>study</t>
        </is>
      </c>
      <c r="E7" t="inlineStr">
        <is>
          <t>present</t>
        </is>
      </c>
      <c r="F7" t="inlineStr">
        <is>
          <t>scrubber</t>
        </is>
      </c>
      <c r="G7" t="b">
        <v>1</v>
      </c>
      <c r="H7" t="inlineStr">
        <is>
          <t>DIGESTER</t>
        </is>
      </c>
    </row>
    <row r="8">
      <c r="A8" t="inlineStr">
        <is>
          <t>EVAP_BASE</t>
        </is>
      </c>
      <c r="B8" s="8" t="n">
        <v>1.328</v>
      </c>
      <c r="C8" t="inlineStr">
        <is>
          <t>kW</t>
        </is>
      </c>
      <c r="D8" t="inlineStr">
        <is>
          <t>study</t>
        </is>
      </c>
      <c r="E8" t="inlineStr">
        <is>
          <t>present</t>
        </is>
      </c>
      <c r="F8" t="inlineStr">
        <is>
          <t>evaporator</t>
        </is>
      </c>
      <c r="G8" t="b">
        <v>1</v>
      </c>
      <c r="H8" t="inlineStr">
        <is>
          <t>DIGESTER</t>
        </is>
      </c>
    </row>
    <row r="9">
      <c r="A9" t="inlineStr">
        <is>
          <t>EW_1</t>
        </is>
      </c>
      <c r="B9" s="8" t="n">
        <v>5.2483</v>
      </c>
      <c r="C9" t="inlineStr">
        <is>
          <t>kW</t>
        </is>
      </c>
      <c r="D9" t="inlineStr">
        <is>
          <t>study</t>
        </is>
      </c>
      <c r="E9" t="inlineStr">
        <is>
          <t>present</t>
        </is>
      </c>
      <c r="F9" t="inlineStr">
        <is>
          <t>ew_cell</t>
        </is>
      </c>
      <c r="G9" t="b">
        <v>1</v>
      </c>
      <c r="H9" t="inlineStr">
        <is>
          <t>DIGESTER</t>
        </is>
      </c>
    </row>
    <row r="10">
      <c r="A10" t="inlineStr">
        <is>
          <t>EW_2</t>
        </is>
      </c>
      <c r="E10" t="inlineStr">
        <is>
          <t>present</t>
        </is>
      </c>
      <c r="F10" t="inlineStr">
        <is>
          <t>ew_cell</t>
        </is>
      </c>
      <c r="G10" t="b">
        <v>1</v>
      </c>
      <c r="H10" t="inlineStr">
        <is>
          <t>DIGESTER</t>
        </is>
      </c>
    </row>
    <row r="11">
      <c r="A11" t="inlineStr">
        <is>
          <t>EW_3</t>
        </is>
      </c>
      <c r="E11" t="inlineStr">
        <is>
          <t>present</t>
        </is>
      </c>
      <c r="F11" t="inlineStr">
        <is>
          <t>ew_cell</t>
        </is>
      </c>
      <c r="G11" t="b">
        <v>1</v>
      </c>
      <c r="H11" t="inlineStr">
        <is>
          <t>DIGESTER</t>
        </is>
      </c>
    </row>
    <row r="12">
      <c r="A12" t="inlineStr">
        <is>
          <t>EW_4</t>
        </is>
      </c>
      <c r="E12" t="inlineStr">
        <is>
          <t>present</t>
        </is>
      </c>
      <c r="F12" t="inlineStr">
        <is>
          <t>ew_cell</t>
        </is>
      </c>
      <c r="G12" t="b">
        <v>1</v>
      </c>
      <c r="H12" t="inlineStr">
        <is>
          <t>DIGESTER</t>
        </is>
      </c>
    </row>
    <row r="13">
      <c r="A13" t="inlineStr">
        <is>
          <t>EW_5</t>
        </is>
      </c>
      <c r="E13" t="inlineStr">
        <is>
          <t>present</t>
        </is>
      </c>
      <c r="F13" t="inlineStr">
        <is>
          <t>ew_cell</t>
        </is>
      </c>
      <c r="G13" t="b">
        <v>1</v>
      </c>
      <c r="H13" t="inlineStr">
        <is>
          <t>DIGESTER</t>
        </is>
      </c>
    </row>
    <row r="14">
      <c r="A14" t="inlineStr">
        <is>
          <t>EW_6</t>
        </is>
      </c>
      <c r="E14" t="inlineStr">
        <is>
          <t>present</t>
        </is>
      </c>
      <c r="F14" t="inlineStr">
        <is>
          <t>ew_cell</t>
        </is>
      </c>
      <c r="G14" t="b">
        <v>1</v>
      </c>
      <c r="H14" t="inlineStr">
        <is>
          <t>DIGESTER</t>
        </is>
      </c>
    </row>
    <row r="15">
      <c r="A15" t="inlineStr">
        <is>
          <t>EW_7</t>
        </is>
      </c>
      <c r="E15" t="inlineStr">
        <is>
          <t>present</t>
        </is>
      </c>
      <c r="F15" t="inlineStr">
        <is>
          <t>ew_cell</t>
        </is>
      </c>
      <c r="G15" t="b">
        <v>1</v>
      </c>
      <c r="H15" t="inlineStr">
        <is>
          <t>DIGESTER</t>
        </is>
      </c>
    </row>
    <row r="16">
      <c r="A16" t="inlineStr">
        <is>
          <t>EW_8</t>
        </is>
      </c>
      <c r="E16" t="inlineStr">
        <is>
          <t>present</t>
        </is>
      </c>
      <c r="F16" t="inlineStr">
        <is>
          <t>ew_cell</t>
        </is>
      </c>
      <c r="G16" t="b">
        <v>1</v>
      </c>
      <c r="H16" t="inlineStr">
        <is>
          <t>DIGESTER</t>
        </is>
      </c>
    </row>
    <row r="17">
      <c r="A17" t="inlineStr">
        <is>
          <t>EW_9</t>
        </is>
      </c>
      <c r="E17" t="inlineStr">
        <is>
          <t>present</t>
        </is>
      </c>
      <c r="F17" t="inlineStr">
        <is>
          <t>ew_cell</t>
        </is>
      </c>
      <c r="G17" t="b">
        <v>1</v>
      </c>
      <c r="H17" t="inlineStr">
        <is>
          <t>DIGESTER</t>
        </is>
      </c>
    </row>
    <row r="18">
      <c r="A18" t="inlineStr">
        <is>
          <t>FLOAT_SINK</t>
        </is>
      </c>
      <c r="E18" t="inlineStr">
        <is>
          <t>present</t>
        </is>
      </c>
      <c r="F18" t="inlineStr">
        <is>
          <t>separator</t>
        </is>
      </c>
      <c r="G18" t="b">
        <v>1</v>
      </c>
      <c r="H18" t="inlineStr">
        <is>
          <t>DIGESTER</t>
        </is>
      </c>
    </row>
    <row r="19">
      <c r="A19" t="inlineStr">
        <is>
          <t>F_RECOVER</t>
        </is>
      </c>
      <c r="E19" t="inlineStr">
        <is>
          <t>present</t>
        </is>
      </c>
      <c r="F19" t="inlineStr">
        <is>
          <t>separator</t>
        </is>
      </c>
      <c r="G19" t="b">
        <v>1</v>
      </c>
      <c r="H19" t="inlineStr">
        <is>
          <t>DIGESTER</t>
        </is>
      </c>
    </row>
    <row r="20">
      <c r="A20" t="inlineStr">
        <is>
          <t>HX8</t>
        </is>
      </c>
      <c r="E20" t="inlineStr">
        <is>
          <t>present</t>
        </is>
      </c>
      <c r="F20" t="inlineStr">
        <is>
          <t>hx</t>
        </is>
      </c>
      <c r="G20" t="b">
        <v>1</v>
      </c>
      <c r="H20" t="inlineStr">
        <is>
          <t>DIGESTER</t>
        </is>
      </c>
    </row>
    <row r="21">
      <c r="A21" t="inlineStr">
        <is>
          <t>LEACH_CSTR_1</t>
        </is>
      </c>
      <c r="B21" s="8" t="n">
        <v>0.75</v>
      </c>
      <c r="C21" t="inlineStr">
        <is>
          <t>kW</t>
        </is>
      </c>
      <c r="D21" t="inlineStr">
        <is>
          <t>study</t>
        </is>
      </c>
      <c r="E21" t="inlineStr">
        <is>
          <t>present</t>
        </is>
      </c>
      <c r="F21" t="inlineStr">
        <is>
          <t>vessel</t>
        </is>
      </c>
      <c r="G21" t="b">
        <v>1</v>
      </c>
      <c r="H21" t="inlineStr">
        <is>
          <t>DIGESTER</t>
        </is>
      </c>
    </row>
    <row r="22">
      <c r="A22" t="inlineStr">
        <is>
          <t>LI_RECOVER</t>
        </is>
      </c>
      <c r="E22" t="inlineStr">
        <is>
          <t>present</t>
        </is>
      </c>
      <c r="F22" t="inlineStr">
        <is>
          <t>separator</t>
        </is>
      </c>
      <c r="G22" t="b">
        <v>1</v>
      </c>
      <c r="H22" t="inlineStr">
        <is>
          <t>DIGESTER</t>
        </is>
      </c>
    </row>
    <row r="23">
      <c r="A23" t="inlineStr">
        <is>
          <t>POLISH_BANK</t>
        </is>
      </c>
      <c r="E23" t="inlineStr">
        <is>
          <t>present</t>
        </is>
      </c>
      <c r="F23" t="inlineStr">
        <is>
          <t>polish</t>
        </is>
      </c>
      <c r="G23" t="b">
        <v>1</v>
      </c>
      <c r="H23" t="inlineStr">
        <is>
          <t>DIGESTER</t>
        </is>
      </c>
    </row>
    <row r="24">
      <c r="A24" t="inlineStr">
        <is>
          <t>P_CA</t>
        </is>
      </c>
      <c r="E24" t="inlineStr">
        <is>
          <t>present</t>
        </is>
      </c>
      <c r="F24" t="inlineStr">
        <is>
          <t>precip</t>
        </is>
      </c>
      <c r="G24" t="b">
        <v>1</v>
      </c>
      <c r="H24" t="inlineStr">
        <is>
          <t>DIGESTER</t>
        </is>
      </c>
    </row>
    <row r="25">
      <c r="A25" t="inlineStr">
        <is>
          <t>S13_CLASS_TREAT</t>
        </is>
      </c>
      <c r="E25" t="inlineStr">
        <is>
          <t>retired</t>
        </is>
      </c>
      <c r="G25" t="b">
        <v>1</v>
      </c>
      <c r="H25" t="inlineStr">
        <is>
          <t>DIGESTER</t>
        </is>
      </c>
    </row>
    <row r="26">
      <c r="A26" t="inlineStr">
        <is>
          <t>SALT_FEED</t>
        </is>
      </c>
      <c r="E26" t="inlineStr">
        <is>
          <t>present</t>
        </is>
      </c>
      <c r="F26" t="inlineStr">
        <is>
          <t>feed</t>
        </is>
      </c>
      <c r="G26" t="b">
        <v>1</v>
      </c>
      <c r="H26" t="inlineStr">
        <is>
          <t>DIGESTER</t>
        </is>
      </c>
    </row>
    <row r="28">
      <c r="A28" s="1" t="inlineStr">
        <is>
          <t>SUBTOTAL continuous kW (SUM)</t>
        </is>
      </c>
      <c r="B28" s="10">
        <f>SUM(B2:B26)</f>
        <v/>
      </c>
    </row>
    <row r="30">
      <c r="A30" s="9" t="inlineStr">
        <is>
          <t>EDGES TOUCHING THIS SECTOR (from or to)</t>
        </is>
      </c>
    </row>
    <row r="31">
      <c r="A31" s="3" t="inlineStr">
        <is>
          <t>stream_id</t>
        </is>
      </c>
      <c r="B31" s="3" t="inlineStr">
        <is>
          <t>from_unit</t>
        </is>
      </c>
      <c r="C31" s="3" t="inlineStr">
        <is>
          <t>to_unit</t>
        </is>
      </c>
      <c r="D31" s="3" t="inlineStr">
        <is>
          <t>rate</t>
        </is>
      </c>
      <c r="E31" s="3" t="inlineStr">
        <is>
          <t>unit</t>
        </is>
      </c>
      <c r="F31" s="3" t="inlineStr">
        <is>
          <t>status</t>
        </is>
      </c>
    </row>
    <row r="32">
      <c r="A32" t="inlineStr">
        <is>
          <t>AL_POT_CL2</t>
        </is>
      </c>
      <c r="B32" t="inlineStr">
        <is>
          <t>AL_POT</t>
        </is>
      </c>
      <c r="C32" t="inlineStr">
        <is>
          <t>CRU</t>
        </is>
      </c>
      <c r="D32" t="n">
        <v>0</v>
      </c>
      <c r="E32" t="inlineStr">
        <is>
          <t>kg/d</t>
        </is>
      </c>
      <c r="F32" t="inlineStr">
        <is>
          <t>study</t>
        </is>
      </c>
    </row>
    <row r="33">
      <c r="A33" t="inlineStr">
        <is>
          <t>CRU_TO_TFE</t>
        </is>
      </c>
      <c r="B33" t="inlineStr">
        <is>
          <t>CRU</t>
        </is>
      </c>
      <c r="C33" t="inlineStr">
        <is>
          <t>TFE_SYN</t>
        </is>
      </c>
      <c r="D33" t="n">
        <v>0.283567</v>
      </c>
      <c r="E33" t="inlineStr">
        <is>
          <t>kg/d</t>
        </is>
      </c>
      <c r="F33" t="inlineStr">
        <is>
          <t>study</t>
        </is>
      </c>
    </row>
    <row r="34">
      <c r="A34" t="inlineStr">
        <is>
          <t>CRU_TO_VDF</t>
        </is>
      </c>
      <c r="B34" t="inlineStr">
        <is>
          <t>CRU</t>
        </is>
      </c>
      <c r="C34" t="inlineStr">
        <is>
          <t>VDF_SYN</t>
        </is>
      </c>
      <c r="D34" t="n">
        <v>0.332195</v>
      </c>
      <c r="E34" t="inlineStr">
        <is>
          <t>kg/d</t>
        </is>
      </c>
      <c r="F34" t="inlineStr">
        <is>
          <t>study</t>
        </is>
      </c>
    </row>
    <row r="35">
      <c r="A35" t="inlineStr">
        <is>
          <t>EW9_LIQUOR_TO_MO</t>
        </is>
      </c>
      <c r="B35" t="inlineStr">
        <is>
          <t>EW_9</t>
        </is>
      </c>
      <c r="C35" t="inlineStr">
        <is>
          <t>MO_CELL</t>
        </is>
      </c>
      <c r="D35" t="n">
        <v>0</v>
      </c>
      <c r="E35" t="inlineStr">
        <is>
          <t>kg/d</t>
        </is>
      </c>
      <c r="F35" t="inlineStr">
        <is>
          <t>study</t>
        </is>
      </c>
    </row>
    <row r="36">
      <c r="A36" t="inlineStr">
        <is>
          <t>EW_METALS_TO_IND</t>
        </is>
      </c>
      <c r="B36" t="inlineStr">
        <is>
          <t>EW_9</t>
        </is>
      </c>
      <c r="C36" t="inlineStr">
        <is>
          <t>IND_MELT</t>
        </is>
      </c>
      <c r="D36" t="n">
        <v>0</v>
      </c>
      <c r="E36" t="inlineStr">
        <is>
          <t>kg/d</t>
        </is>
      </c>
      <c r="F36" t="inlineStr">
        <is>
          <t>study</t>
        </is>
      </c>
    </row>
    <row r="37">
      <c r="A37" t="inlineStr">
        <is>
          <t>FLOAT_SINK_GRIT_TO_TI</t>
        </is>
      </c>
      <c r="B37" t="inlineStr">
        <is>
          <t>FLOAT_SINK</t>
        </is>
      </c>
      <c r="C37" t="inlineStr">
        <is>
          <t>TI_CELL</t>
        </is>
      </c>
      <c r="D37" t="n">
        <v>0</v>
      </c>
      <c r="E37" t="inlineStr">
        <is>
          <t>kg/d</t>
        </is>
      </c>
      <c r="F37" t="inlineStr">
        <is>
          <t>study</t>
        </is>
      </c>
    </row>
    <row r="38">
      <c r="A38" t="inlineStr">
        <is>
          <t>FOUNDRY_SLAG_TO_LEACH</t>
        </is>
      </c>
      <c r="B38" t="inlineStr">
        <is>
          <t>IND_MELT</t>
        </is>
      </c>
      <c r="C38" t="inlineStr">
        <is>
          <t>LEACH_CSTR_1</t>
        </is>
      </c>
      <c r="D38" t="n">
        <v>0.356466</v>
      </c>
      <c r="E38" t="inlineStr">
        <is>
          <t>kg/d</t>
        </is>
      </c>
      <c r="F38" t="inlineStr">
        <is>
          <t>study</t>
        </is>
      </c>
    </row>
    <row r="39">
      <c r="A39" t="inlineStr">
        <is>
          <t>F_RECOVER_TO_HF_GEN</t>
        </is>
      </c>
      <c r="B39" t="inlineStr">
        <is>
          <t>F_RECOVER</t>
        </is>
      </c>
      <c r="C39" t="inlineStr">
        <is>
          <t>HF_GEN</t>
        </is>
      </c>
      <c r="D39" t="n">
        <v>1.52</v>
      </c>
      <c r="E39" t="inlineStr">
        <is>
          <t>kg/d</t>
        </is>
      </c>
      <c r="F39" t="inlineStr">
        <is>
          <t>study</t>
        </is>
      </c>
    </row>
    <row r="40">
      <c r="A40" t="inlineStr">
        <is>
          <t>HL-HX8-Q3-A</t>
        </is>
      </c>
      <c r="B40" t="inlineStr">
        <is>
          <t>HX8</t>
        </is>
      </c>
      <c r="C40" t="inlineStr">
        <is>
          <t>Q3_A</t>
        </is>
      </c>
      <c r="F40" t="inlineStr">
        <is>
          <t>null</t>
        </is>
      </c>
    </row>
    <row r="41">
      <c r="A41" t="inlineStr">
        <is>
          <t>HL-HX8-Q3-B</t>
        </is>
      </c>
      <c r="B41" t="inlineStr">
        <is>
          <t>HX8</t>
        </is>
      </c>
      <c r="C41" t="inlineStr">
        <is>
          <t>Q3_B</t>
        </is>
      </c>
      <c r="F41" t="inlineStr">
        <is>
          <t>null</t>
        </is>
      </c>
    </row>
    <row r="42">
      <c r="A42" t="inlineStr">
        <is>
          <t>HL-HX8-Q4-A</t>
        </is>
      </c>
      <c r="B42" t="inlineStr">
        <is>
          <t>HX8</t>
        </is>
      </c>
      <c r="C42" t="inlineStr">
        <is>
          <t>Q4_A</t>
        </is>
      </c>
      <c r="D42" t="n">
        <v>2.286</v>
      </c>
      <c r="E42" t="inlineStr">
        <is>
          <t>kW</t>
        </is>
      </c>
      <c r="F42" t="inlineStr">
        <is>
          <t>study</t>
        </is>
      </c>
    </row>
    <row r="43">
      <c r="A43" t="inlineStr">
        <is>
          <t>HL-HX8-Q4-B</t>
        </is>
      </c>
      <c r="B43" t="inlineStr">
        <is>
          <t>HX8</t>
        </is>
      </c>
      <c r="C43" t="inlineStr">
        <is>
          <t>Q4_B</t>
        </is>
      </c>
      <c r="D43" t="n">
        <v>2.286</v>
      </c>
      <c r="E43" t="inlineStr">
        <is>
          <t>kW</t>
        </is>
      </c>
      <c r="F43" t="inlineStr">
        <is>
          <t>study</t>
        </is>
      </c>
    </row>
    <row r="44">
      <c r="A44" t="inlineStr">
        <is>
          <t>HL-Q3-A-HX5</t>
        </is>
      </c>
      <c r="B44" t="inlineStr">
        <is>
          <t>Q3_A</t>
        </is>
      </c>
      <c r="C44" t="inlineStr">
        <is>
          <t>LEACH_CSTR_1</t>
        </is>
      </c>
      <c r="D44" t="n">
        <v>1.4548</v>
      </c>
      <c r="E44" t="inlineStr">
        <is>
          <t>kW</t>
        </is>
      </c>
      <c r="F44" t="inlineStr">
        <is>
          <t>study</t>
        </is>
      </c>
    </row>
    <row r="45">
      <c r="A45" t="inlineStr">
        <is>
          <t>HL-Q3-B-HX5</t>
        </is>
      </c>
      <c r="B45" t="inlineStr">
        <is>
          <t>Q3_B</t>
        </is>
      </c>
      <c r="C45" t="inlineStr">
        <is>
          <t>LEACH_CSTR_1</t>
        </is>
      </c>
      <c r="D45" t="n">
        <v>1.4548</v>
      </c>
      <c r="E45" t="inlineStr">
        <is>
          <t>kW</t>
        </is>
      </c>
      <c r="F45" t="inlineStr">
        <is>
          <t>study</t>
        </is>
      </c>
    </row>
    <row r="46">
      <c r="A46" t="inlineStr">
        <is>
          <t>IA-ACID-01</t>
        </is>
      </c>
      <c r="B46" t="inlineStr">
        <is>
          <t>EVAP_ACID</t>
        </is>
      </c>
      <c r="C46" t="inlineStr">
        <is>
          <t>LEACH_CSTR_1</t>
        </is>
      </c>
      <c r="D46" t="n">
        <v>439.6127</v>
      </c>
      <c r="E46" t="inlineStr">
        <is>
          <t>kg/d</t>
        </is>
      </c>
      <c r="F46" t="inlineStr">
        <is>
          <t>study</t>
        </is>
      </c>
    </row>
    <row r="47">
      <c r="A47" t="inlineStr">
        <is>
          <t>IA-BAG-01</t>
        </is>
      </c>
      <c r="B47" t="inlineStr">
        <is>
          <t>BAGHOUSE</t>
        </is>
      </c>
      <c r="C47" t="inlineStr">
        <is>
          <t>LEACH_CSTR_1</t>
        </is>
      </c>
      <c r="D47" t="n">
        <v>7.77</v>
      </c>
      <c r="E47" t="inlineStr">
        <is>
          <t>kg/d</t>
        </is>
      </c>
      <c r="F47" t="inlineStr">
        <is>
          <t>study</t>
        </is>
      </c>
    </row>
    <row r="48">
      <c r="A48" t="inlineStr">
        <is>
          <t>IA-BASE-PPT</t>
        </is>
      </c>
      <c r="B48" t="inlineStr">
        <is>
          <t>EVAP_BASE</t>
        </is>
      </c>
      <c r="C48" t="inlineStr">
        <is>
          <t>LEACH_CSTR_1</t>
        </is>
      </c>
      <c r="D48" t="n">
        <v>482.2861</v>
      </c>
      <c r="E48" t="inlineStr">
        <is>
          <t>kg/d</t>
        </is>
      </c>
      <c r="F48" t="inlineStr">
        <is>
          <t>study</t>
        </is>
      </c>
    </row>
    <row r="49">
      <c r="A49" t="inlineStr">
        <is>
          <t>IA-BMED-01</t>
        </is>
      </c>
      <c r="B49" t="inlineStr">
        <is>
          <t>BMED_ACID</t>
        </is>
      </c>
      <c r="C49" t="inlineStr">
        <is>
          <t>WS_NITRIC</t>
        </is>
      </c>
      <c r="D49" t="n">
        <v>1.2456</v>
      </c>
      <c r="E49" t="inlineStr">
        <is>
          <t>kg/d</t>
        </is>
      </c>
      <c r="F49" t="inlineStr">
        <is>
          <t>study</t>
        </is>
      </c>
    </row>
    <row r="50">
      <c r="A50" t="inlineStr">
        <is>
          <t>IA-BMED-02</t>
        </is>
      </c>
      <c r="B50" t="inlineStr">
        <is>
          <t>BMED_BASE</t>
        </is>
      </c>
      <c r="C50" t="inlineStr">
        <is>
          <t>WS_KOH</t>
        </is>
      </c>
      <c r="D50" t="n">
        <v>0.2701</v>
      </c>
      <c r="E50" t="inlineStr">
        <is>
          <t>kg/d</t>
        </is>
      </c>
      <c r="F50" t="inlineStr">
        <is>
          <t>study</t>
        </is>
      </c>
    </row>
    <row r="51">
      <c r="A51" t="inlineStr">
        <is>
          <t>IA-BMED-03</t>
        </is>
      </c>
      <c r="B51" t="inlineStr">
        <is>
          <t>LEACH_CSTR_1</t>
        </is>
      </c>
      <c r="C51" t="inlineStr">
        <is>
          <t>BMED_ACID</t>
        </is>
      </c>
      <c r="D51" t="n">
        <v>450.164184</v>
      </c>
      <c r="E51" t="inlineStr">
        <is>
          <t>kg/d</t>
        </is>
      </c>
      <c r="F51" t="inlineStr">
        <is>
          <t>study</t>
        </is>
      </c>
    </row>
    <row r="52">
      <c r="A52" t="inlineStr">
        <is>
          <t>IA-BMED-03-TRIM</t>
        </is>
      </c>
      <c r="B52" t="inlineStr">
        <is>
          <t>LEACH_CSTR_1</t>
        </is>
      </c>
      <c r="C52" t="inlineStr">
        <is>
          <t>GEO_GHEX</t>
        </is>
      </c>
      <c r="D52" t="n">
        <v>0.78</v>
      </c>
      <c r="E52" t="inlineStr">
        <is>
          <t>kW</t>
        </is>
      </c>
      <c r="F52" t="inlineStr">
        <is>
          <t>study</t>
        </is>
      </c>
    </row>
    <row r="53">
      <c r="A53" t="inlineStr">
        <is>
          <t>IA-BMED-04</t>
        </is>
      </c>
      <c r="B53" t="inlineStr">
        <is>
          <t>LEACH_CSTR_1</t>
        </is>
      </c>
      <c r="C53" t="inlineStr">
        <is>
          <t>BMED_BASE</t>
        </is>
      </c>
      <c r="D53" t="n">
        <v>500.1311</v>
      </c>
      <c r="E53" t="inlineStr">
        <is>
          <t>kg/d</t>
        </is>
      </c>
      <c r="F53" t="inlineStr">
        <is>
          <t>study</t>
        </is>
      </c>
    </row>
    <row r="54">
      <c r="A54" t="inlineStr">
        <is>
          <t>IA-BMED-04-TRIM</t>
        </is>
      </c>
      <c r="B54" t="inlineStr">
        <is>
          <t>LEACH_CSTR_1</t>
        </is>
      </c>
      <c r="C54" t="inlineStr">
        <is>
          <t>GEO_GHEX</t>
        </is>
      </c>
      <c r="D54" t="n">
        <v>1.027</v>
      </c>
      <c r="E54" t="inlineStr">
        <is>
          <t>kW</t>
        </is>
      </c>
      <c r="F54" t="inlineStr">
        <is>
          <t>study</t>
        </is>
      </c>
    </row>
    <row r="55">
      <c r="A55" t="inlineStr">
        <is>
          <t>IA-CLOSE-1</t>
        </is>
      </c>
      <c r="B55" t="inlineStr">
        <is>
          <t>LEACH_CSTR_1</t>
        </is>
      </c>
      <c r="C55" t="inlineStr">
        <is>
          <t>NOX_SCRUB</t>
        </is>
      </c>
      <c r="D55" t="n">
        <v>1</v>
      </c>
      <c r="E55" t="inlineStr">
        <is>
          <t>kg/d</t>
        </is>
      </c>
      <c r="F55" t="inlineStr">
        <is>
          <t>study</t>
        </is>
      </c>
    </row>
    <row r="56">
      <c r="A56" t="inlineStr">
        <is>
          <t>IA-CLOSE-10</t>
        </is>
      </c>
      <c r="B56" t="inlineStr">
        <is>
          <t>LEACH_CSTR_1</t>
        </is>
      </c>
      <c r="C56" t="inlineStr">
        <is>
          <t>MEOH_FC</t>
        </is>
      </c>
      <c r="D56" t="n">
        <v>0.1896</v>
      </c>
      <c r="E56" t="inlineStr">
        <is>
          <t>kg/d</t>
        </is>
      </c>
      <c r="F56" t="inlineStr">
        <is>
          <t>study</t>
        </is>
      </c>
    </row>
    <row r="57">
      <c r="A57" t="inlineStr">
        <is>
          <t>IA-COAT-IN</t>
        </is>
      </c>
      <c r="B57" t="inlineStr">
        <is>
          <t>EW_1</t>
        </is>
      </c>
      <c r="C57" t="inlineStr">
        <is>
          <t>ELECTRODE_COAT</t>
        </is>
      </c>
      <c r="D57" t="n">
        <v>0.02</v>
      </c>
      <c r="E57" t="inlineStr">
        <is>
          <t>kg/d</t>
        </is>
      </c>
      <c r="F57" t="inlineStr">
        <is>
          <t>study</t>
        </is>
      </c>
    </row>
    <row r="58">
      <c r="A58" t="inlineStr">
        <is>
          <t>IA-COAT-OUT</t>
        </is>
      </c>
      <c r="B58" t="inlineStr">
        <is>
          <t>ELECTRODE_COAT</t>
        </is>
      </c>
      <c r="C58" t="inlineStr">
        <is>
          <t>EW_1</t>
        </is>
      </c>
      <c r="D58" t="n">
        <v>0.02</v>
      </c>
      <c r="E58" t="inlineStr">
        <is>
          <t>kg/d</t>
        </is>
      </c>
      <c r="F58" t="inlineStr">
        <is>
          <t>study</t>
        </is>
      </c>
    </row>
    <row r="59">
      <c r="A59" t="inlineStr">
        <is>
          <t>IA-CRU-01</t>
        </is>
      </c>
      <c r="B59" t="inlineStr">
        <is>
          <t>CRU</t>
        </is>
      </c>
      <c r="C59" t="inlineStr">
        <is>
          <t>LEACH_CSTR_1</t>
        </is>
      </c>
      <c r="D59" t="n">
        <v>27.509975</v>
      </c>
      <c r="E59" t="inlineStr">
        <is>
          <t>kg/d</t>
        </is>
      </c>
      <c r="F59" t="inlineStr">
        <is>
          <t>study</t>
        </is>
      </c>
    </row>
    <row r="60">
      <c r="A60" t="inlineStr">
        <is>
          <t>IA-CULLET</t>
        </is>
      </c>
      <c r="B60" t="inlineStr">
        <is>
          <t>LEACH_CSTR_1</t>
        </is>
      </c>
      <c r="C60" t="inlineStr">
        <is>
          <t>GLASS_RINSE</t>
        </is>
      </c>
      <c r="D60" t="n">
        <v>36.82</v>
      </c>
      <c r="E60" t="inlineStr">
        <is>
          <t>kg/d</t>
        </is>
      </c>
      <c r="F60" t="inlineStr">
        <is>
          <t>study</t>
        </is>
      </c>
    </row>
    <row r="61">
      <c r="A61" t="inlineStr">
        <is>
          <t>IA-DC-EW_1</t>
        </is>
      </c>
      <c r="B61" t="inlineStr">
        <is>
          <t>RECTIFIER</t>
        </is>
      </c>
      <c r="C61" t="inlineStr">
        <is>
          <t>EW_1</t>
        </is>
      </c>
      <c r="D61" t="n">
        <v>5.9909</v>
      </c>
      <c r="E61" t="inlineStr">
        <is>
          <t>kW</t>
        </is>
      </c>
      <c r="F61" t="inlineStr">
        <is>
          <t>study</t>
        </is>
      </c>
    </row>
    <row r="62">
      <c r="A62" t="inlineStr">
        <is>
          <t>IA-DC-EW_2</t>
        </is>
      </c>
      <c r="B62" t="inlineStr">
        <is>
          <t>RECTIFIER</t>
        </is>
      </c>
      <c r="C62" t="inlineStr">
        <is>
          <t>EW_2</t>
        </is>
      </c>
      <c r="D62" t="n">
        <v>5.9929</v>
      </c>
      <c r="E62" t="inlineStr">
        <is>
          <t>kW</t>
        </is>
      </c>
      <c r="F62" t="inlineStr">
        <is>
          <t>study</t>
        </is>
      </c>
    </row>
    <row r="63">
      <c r="A63" t="inlineStr">
        <is>
          <t>IA-DC-EW_3</t>
        </is>
      </c>
      <c r="B63" t="inlineStr">
        <is>
          <t>RECTIFIER</t>
        </is>
      </c>
      <c r="C63" t="inlineStr">
        <is>
          <t>EW_3</t>
        </is>
      </c>
      <c r="D63" t="n">
        <v>2.2495</v>
      </c>
      <c r="E63" t="inlineStr">
        <is>
          <t>kW</t>
        </is>
      </c>
      <c r="F63" t="inlineStr">
        <is>
          <t>study</t>
        </is>
      </c>
    </row>
    <row r="64">
      <c r="A64" t="inlineStr">
        <is>
          <t>IA-DC-EW_4</t>
        </is>
      </c>
      <c r="B64" t="inlineStr">
        <is>
          <t>RECTIFIER</t>
        </is>
      </c>
      <c r="C64" t="inlineStr">
        <is>
          <t>EW_4</t>
        </is>
      </c>
      <c r="D64" t="n">
        <v>0.4853</v>
      </c>
      <c r="E64" t="inlineStr">
        <is>
          <t>kW</t>
        </is>
      </c>
      <c r="F64" t="inlineStr">
        <is>
          <t>study</t>
        </is>
      </c>
    </row>
    <row r="65">
      <c r="A65" t="inlineStr">
        <is>
          <t>IA-DC-EW_5</t>
        </is>
      </c>
      <c r="B65" t="inlineStr">
        <is>
          <t>RECTIFIER</t>
        </is>
      </c>
      <c r="C65" t="inlineStr">
        <is>
          <t>EW_5</t>
        </is>
      </c>
      <c r="D65" t="n">
        <v>0.5024</v>
      </c>
      <c r="E65" t="inlineStr">
        <is>
          <t>kW</t>
        </is>
      </c>
      <c r="F65" t="inlineStr">
        <is>
          <t>study</t>
        </is>
      </c>
    </row>
    <row r="66">
      <c r="A66" t="inlineStr">
        <is>
          <t>IA-DC-EW_6</t>
        </is>
      </c>
      <c r="B66" t="inlineStr">
        <is>
          <t>RECTIFIER</t>
        </is>
      </c>
      <c r="C66" t="inlineStr">
        <is>
          <t>EW_6</t>
        </is>
      </c>
      <c r="D66" t="n">
        <v>0.5474</v>
      </c>
      <c r="E66" t="inlineStr">
        <is>
          <t>kW</t>
        </is>
      </c>
      <c r="F66" t="inlineStr">
        <is>
          <t>study</t>
        </is>
      </c>
    </row>
    <row r="67">
      <c r="A67" t="inlineStr">
        <is>
          <t>IA-DC-EW_7</t>
        </is>
      </c>
      <c r="B67" t="inlineStr">
        <is>
          <t>RECTIFIER</t>
        </is>
      </c>
      <c r="C67" t="inlineStr">
        <is>
          <t>EW_7</t>
        </is>
      </c>
      <c r="D67" t="n">
        <v>7.1187</v>
      </c>
      <c r="E67" t="inlineStr">
        <is>
          <t>kW</t>
        </is>
      </c>
      <c r="F67" t="inlineStr">
        <is>
          <t>study</t>
        </is>
      </c>
    </row>
    <row r="68">
      <c r="A68" t="inlineStr">
        <is>
          <t>IA-DC-EW_8</t>
        </is>
      </c>
      <c r="B68" t="inlineStr">
        <is>
          <t>RECTIFIER</t>
        </is>
      </c>
      <c r="C68" t="inlineStr">
        <is>
          <t>EW_8</t>
        </is>
      </c>
      <c r="D68" t="n">
        <v>0.5054</v>
      </c>
      <c r="E68" t="inlineStr">
        <is>
          <t>kW</t>
        </is>
      </c>
      <c r="F68" t="inlineStr">
        <is>
          <t>study</t>
        </is>
      </c>
    </row>
    <row r="69">
      <c r="A69" t="inlineStr">
        <is>
          <t>IA-DC-EW_9</t>
        </is>
      </c>
      <c r="B69" t="inlineStr">
        <is>
          <t>RECTIFIER</t>
        </is>
      </c>
      <c r="C69" t="inlineStr">
        <is>
          <t>EW_9</t>
        </is>
      </c>
      <c r="D69" t="n">
        <v>7.538</v>
      </c>
      <c r="E69" t="inlineStr">
        <is>
          <t>kW</t>
        </is>
      </c>
      <c r="F69" t="inlineStr">
        <is>
          <t>study</t>
        </is>
      </c>
    </row>
    <row r="70">
      <c r="A70" t="inlineStr">
        <is>
          <t>IA-DIG-LIQ</t>
        </is>
      </c>
      <c r="B70" t="inlineStr">
        <is>
          <t>GLASS_DIGEST</t>
        </is>
      </c>
      <c r="C70" t="inlineStr">
        <is>
          <t>LEACH_CSTR_1</t>
        </is>
      </c>
      <c r="D70" t="n">
        <v>21.968</v>
      </c>
      <c r="E70" t="inlineStr">
        <is>
          <t>kg/d</t>
        </is>
      </c>
      <c r="F70" t="inlineStr">
        <is>
          <t>study</t>
        </is>
      </c>
    </row>
    <row r="71">
      <c r="A71" t="inlineStr">
        <is>
          <t>IA-EVAP_ACID-COND</t>
        </is>
      </c>
      <c r="B71" t="inlineStr">
        <is>
          <t>EVAP_ACID</t>
        </is>
      </c>
      <c r="C71" t="inlineStr">
        <is>
          <t>BMED_ACID</t>
        </is>
      </c>
      <c r="D71" t="n">
        <v>865.1446</v>
      </c>
      <c r="E71" t="inlineStr">
        <is>
          <t>kg/d</t>
        </is>
      </c>
      <c r="F71" t="inlineStr">
        <is>
          <t>study</t>
        </is>
      </c>
    </row>
    <row r="72">
      <c r="A72" t="inlineStr">
        <is>
          <t>IA-EVAP_ACID-FEED</t>
        </is>
      </c>
      <c r="B72" t="inlineStr">
        <is>
          <t>BMED_ACID</t>
        </is>
      </c>
      <c r="C72" t="inlineStr">
        <is>
          <t>EVAP_ACID</t>
        </is>
      </c>
      <c r="D72" t="n">
        <v>1304.7866</v>
      </c>
      <c r="E72" t="inlineStr">
        <is>
          <t>kg/d</t>
        </is>
      </c>
      <c r="F72" t="inlineStr">
        <is>
          <t>study</t>
        </is>
      </c>
    </row>
    <row r="73">
      <c r="A73" t="inlineStr">
        <is>
          <t>IA-EVAP_ACID-VENT</t>
        </is>
      </c>
      <c r="B73" t="inlineStr">
        <is>
          <t>EVAP_ACID</t>
        </is>
      </c>
      <c r="C73" t="inlineStr">
        <is>
          <t>EVAP_ACID_VS</t>
        </is>
      </c>
      <c r="D73" t="n">
        <v>0.0293</v>
      </c>
      <c r="E73" t="inlineStr">
        <is>
          <t>kg/d</t>
        </is>
      </c>
      <c r="F73" t="inlineStr">
        <is>
          <t>study</t>
        </is>
      </c>
    </row>
    <row r="74">
      <c r="A74" t="inlineStr">
        <is>
          <t>IA-EVAP_BASE-COND</t>
        </is>
      </c>
      <c r="B74" t="inlineStr">
        <is>
          <t>EVAP_BASE</t>
        </is>
      </c>
      <c r="C74" t="inlineStr">
        <is>
          <t>BMED_BASE</t>
        </is>
      </c>
      <c r="D74" t="n">
        <v>801.8559</v>
      </c>
      <c r="E74" t="inlineStr">
        <is>
          <t>kg/d</t>
        </is>
      </c>
      <c r="F74" t="inlineStr">
        <is>
          <t>study</t>
        </is>
      </c>
    </row>
    <row r="75">
      <c r="A75" t="inlineStr">
        <is>
          <t>IA-EVAP_BASE-FEED</t>
        </is>
      </c>
      <c r="B75" t="inlineStr">
        <is>
          <t>BMED_BASE</t>
        </is>
      </c>
      <c r="C75" t="inlineStr">
        <is>
          <t>EVAP_BASE</t>
        </is>
      </c>
      <c r="D75" t="n">
        <v>1301.7164</v>
      </c>
      <c r="E75" t="inlineStr">
        <is>
          <t>kg/d</t>
        </is>
      </c>
      <c r="F75" t="inlineStr">
        <is>
          <t>study</t>
        </is>
      </c>
    </row>
    <row r="76">
      <c r="A76" t="inlineStr">
        <is>
          <t>IA-EW-01</t>
        </is>
      </c>
      <c r="B76" t="inlineStr">
        <is>
          <t>EW_1</t>
        </is>
      </c>
      <c r="C76" t="inlineStr">
        <is>
          <t>EW_2</t>
        </is>
      </c>
      <c r="D76" t="n">
        <v>4139.222213</v>
      </c>
      <c r="E76" t="inlineStr">
        <is>
          <t>kg/d</t>
        </is>
      </c>
      <c r="F76" t="inlineStr">
        <is>
          <t>study</t>
        </is>
      </c>
    </row>
    <row r="77">
      <c r="A77" t="inlineStr">
        <is>
          <t>IA-EW-02</t>
        </is>
      </c>
      <c r="B77" t="inlineStr">
        <is>
          <t>EW_2</t>
        </is>
      </c>
      <c r="C77" t="inlineStr">
        <is>
          <t>EW_3</t>
        </is>
      </c>
      <c r="D77" t="n">
        <v>3990.594815</v>
      </c>
      <c r="E77" t="inlineStr">
        <is>
          <t>kg/d</t>
        </is>
      </c>
      <c r="F77" t="inlineStr">
        <is>
          <t>study</t>
        </is>
      </c>
    </row>
    <row r="78">
      <c r="A78" t="inlineStr">
        <is>
          <t>IA-EW-03</t>
        </is>
      </c>
      <c r="B78" t="inlineStr">
        <is>
          <t>EW_3</t>
        </is>
      </c>
      <c r="C78" t="inlineStr">
        <is>
          <t>EW_4</t>
        </is>
      </c>
      <c r="D78" t="n">
        <v>3934.805911</v>
      </c>
      <c r="E78" t="inlineStr">
        <is>
          <t>kg/d</t>
        </is>
      </c>
      <c r="F78" t="inlineStr">
        <is>
          <t>study</t>
        </is>
      </c>
    </row>
    <row r="79">
      <c r="A79" t="inlineStr">
        <is>
          <t>IA-EW-04</t>
        </is>
      </c>
      <c r="B79" t="inlineStr">
        <is>
          <t>LEACH_CSTR_1</t>
        </is>
      </c>
      <c r="C79" t="inlineStr">
        <is>
          <t>EW_1</t>
        </is>
      </c>
      <c r="D79" t="n">
        <v>4287.799997</v>
      </c>
      <c r="E79" t="inlineStr">
        <is>
          <t>kg/d</t>
        </is>
      </c>
      <c r="F79" t="inlineStr">
        <is>
          <t>study</t>
        </is>
      </c>
    </row>
    <row r="80">
      <c r="A80" t="inlineStr">
        <is>
          <t>IA-EW-05</t>
        </is>
      </c>
      <c r="B80" t="inlineStr">
        <is>
          <t>EW_5</t>
        </is>
      </c>
      <c r="C80" t="inlineStr">
        <is>
          <t>EW_6</t>
        </is>
      </c>
      <c r="D80" t="n">
        <v>3909.914016</v>
      </c>
      <c r="E80" t="inlineStr">
        <is>
          <t>kg/d</t>
        </is>
      </c>
      <c r="F80" t="inlineStr">
        <is>
          <t>study</t>
        </is>
      </c>
    </row>
    <row r="81">
      <c r="A81" t="inlineStr">
        <is>
          <t>IA-EW-06</t>
        </is>
      </c>
      <c r="B81" t="inlineStr">
        <is>
          <t>EW_6</t>
        </is>
      </c>
      <c r="C81" t="inlineStr">
        <is>
          <t>EW_7</t>
        </is>
      </c>
      <c r="D81" t="n">
        <v>3896.338257</v>
      </c>
      <c r="E81" t="inlineStr">
        <is>
          <t>kg/d</t>
        </is>
      </c>
      <c r="F81" t="inlineStr">
        <is>
          <t>study</t>
        </is>
      </c>
    </row>
    <row r="82">
      <c r="A82" t="inlineStr">
        <is>
          <t>IA-EW-07</t>
        </is>
      </c>
      <c r="B82" t="inlineStr">
        <is>
          <t>EW_7</t>
        </is>
      </c>
      <c r="C82" t="inlineStr">
        <is>
          <t>EW_8</t>
        </is>
      </c>
      <c r="D82" t="n">
        <v>3719.79104</v>
      </c>
      <c r="E82" t="inlineStr">
        <is>
          <t>kg/d</t>
        </is>
      </c>
      <c r="F82" t="inlineStr">
        <is>
          <t>study</t>
        </is>
      </c>
    </row>
    <row r="83">
      <c r="A83" t="inlineStr">
        <is>
          <t>IA-EW-08</t>
        </is>
      </c>
      <c r="B83" t="inlineStr">
        <is>
          <t>EW_8</t>
        </is>
      </c>
      <c r="C83" t="inlineStr">
        <is>
          <t>EW_9</t>
        </is>
      </c>
      <c r="D83" t="n">
        <v>3707.257179</v>
      </c>
      <c r="E83" t="inlineStr">
        <is>
          <t>kg/d</t>
        </is>
      </c>
      <c r="F83" t="inlineStr">
        <is>
          <t>study</t>
        </is>
      </c>
    </row>
    <row r="84">
      <c r="A84" t="inlineStr">
        <is>
          <t>IA-EW-09</t>
        </is>
      </c>
      <c r="B84" t="inlineStr">
        <is>
          <t>EW_9</t>
        </is>
      </c>
      <c r="C84" t="inlineStr">
        <is>
          <t>POLISH_BANK</t>
        </is>
      </c>
      <c r="D84" t="n">
        <v>3520.311349</v>
      </c>
      <c r="E84" t="inlineStr">
        <is>
          <t>kg/d</t>
        </is>
      </c>
      <c r="F84" t="inlineStr">
        <is>
          <t>study</t>
        </is>
      </c>
    </row>
    <row r="85">
      <c r="A85" t="inlineStr">
        <is>
          <t>IA-EW-10</t>
        </is>
      </c>
      <c r="B85" t="inlineStr">
        <is>
          <t>EW_4</t>
        </is>
      </c>
      <c r="C85" t="inlineStr">
        <is>
          <t>EW_5</t>
        </is>
      </c>
      <c r="D85" t="n">
        <v>3922.373456</v>
      </c>
      <c r="E85" t="inlineStr">
        <is>
          <t>kg/d</t>
        </is>
      </c>
      <c r="F85" t="inlineStr">
        <is>
          <t>study</t>
        </is>
      </c>
    </row>
    <row r="86">
      <c r="A86" t="inlineStr">
        <is>
          <t>IA-EW-MET-1</t>
        </is>
      </c>
      <c r="B86" t="inlineStr">
        <is>
          <t>EW_1</t>
        </is>
      </c>
      <c r="C86" t="inlineStr">
        <is>
          <t>MFG_SHOP</t>
        </is>
      </c>
      <c r="D86" t="n">
        <v>59.869999</v>
      </c>
      <c r="E86" t="inlineStr">
        <is>
          <t>kg/d</t>
        </is>
      </c>
      <c r="F86" t="inlineStr">
        <is>
          <t>study</t>
        </is>
      </c>
    </row>
    <row r="87">
      <c r="A87" t="inlineStr">
        <is>
          <t>IA-EW-MET-2</t>
        </is>
      </c>
      <c r="B87" t="inlineStr">
        <is>
          <t>EW_2</t>
        </is>
      </c>
      <c r="C87" t="inlineStr">
        <is>
          <t>MFG_SHOP</t>
        </is>
      </c>
      <c r="D87" t="n">
        <v>59.889999</v>
      </c>
      <c r="E87" t="inlineStr">
        <is>
          <t>kg/d</t>
        </is>
      </c>
      <c r="F87" t="inlineStr">
        <is>
          <t>study</t>
        </is>
      </c>
    </row>
    <row r="88">
      <c r="A88" t="inlineStr">
        <is>
          <t>IA-EW-MET-3</t>
        </is>
      </c>
      <c r="B88" t="inlineStr">
        <is>
          <t>EW_3</t>
        </is>
      </c>
      <c r="C88" t="inlineStr">
        <is>
          <t>MFG_SHOP</t>
        </is>
      </c>
      <c r="D88" t="n">
        <v>22.480359</v>
      </c>
      <c r="E88" t="inlineStr">
        <is>
          <t>kg/d</t>
        </is>
      </c>
      <c r="F88" t="inlineStr">
        <is>
          <t>study</t>
        </is>
      </c>
    </row>
    <row r="89">
      <c r="A89" t="inlineStr">
        <is>
          <t>IA-EW-MET-4</t>
        </is>
      </c>
      <c r="B89" t="inlineStr">
        <is>
          <t>EW_4</t>
        </is>
      </c>
      <c r="C89" t="inlineStr">
        <is>
          <t>MFG_SHOP</t>
        </is>
      </c>
      <c r="D89" t="n">
        <v>4.85</v>
      </c>
      <c r="E89" t="inlineStr">
        <is>
          <t>kg/d</t>
        </is>
      </c>
      <c r="F89" t="inlineStr">
        <is>
          <t>study</t>
        </is>
      </c>
    </row>
    <row r="90">
      <c r="A90" t="inlineStr">
        <is>
          <t>IA-EW-MET-5</t>
        </is>
      </c>
      <c r="B90" t="inlineStr">
        <is>
          <t>EW_5</t>
        </is>
      </c>
      <c r="C90" t="inlineStr">
        <is>
          <t>MFG_SHOP</t>
        </is>
      </c>
      <c r="D90" t="n">
        <v>5.020359</v>
      </c>
      <c r="E90" t="inlineStr">
        <is>
          <t>kg/d</t>
        </is>
      </c>
      <c r="F90" t="inlineStr">
        <is>
          <t>study</t>
        </is>
      </c>
    </row>
    <row r="91">
      <c r="A91" t="inlineStr">
        <is>
          <t>IA-EW-MET-6</t>
        </is>
      </c>
      <c r="B91" t="inlineStr">
        <is>
          <t>EW_6</t>
        </is>
      </c>
      <c r="C91" t="inlineStr">
        <is>
          <t>MFG_SHOP</t>
        </is>
      </c>
      <c r="D91" t="n">
        <v>5.470359</v>
      </c>
      <c r="E91" t="inlineStr">
        <is>
          <t>kg/d</t>
        </is>
      </c>
      <c r="F91" t="inlineStr">
        <is>
          <t>study</t>
        </is>
      </c>
    </row>
    <row r="92">
      <c r="A92" t="inlineStr">
        <is>
          <t>IA-EW-MET-7</t>
        </is>
      </c>
      <c r="B92" t="inlineStr">
        <is>
          <t>EW_7</t>
        </is>
      </c>
      <c r="C92" t="inlineStr">
        <is>
          <t>MFG_SHOP</t>
        </is>
      </c>
      <c r="D92" t="n">
        <v>71.139999</v>
      </c>
      <c r="E92" t="inlineStr">
        <is>
          <t>kg/d</t>
        </is>
      </c>
      <c r="F92" t="inlineStr">
        <is>
          <t>study</t>
        </is>
      </c>
    </row>
    <row r="93">
      <c r="A93" t="inlineStr">
        <is>
          <t>IA-EW-MET-8</t>
        </is>
      </c>
      <c r="B93" t="inlineStr">
        <is>
          <t>EW_8</t>
        </is>
      </c>
      <c r="C93" t="inlineStr">
        <is>
          <t>MFG_SHOP</t>
        </is>
      </c>
      <c r="D93" t="n">
        <v>5.050359</v>
      </c>
      <c r="E93" t="inlineStr">
        <is>
          <t>kg/d</t>
        </is>
      </c>
      <c r="F93" t="inlineStr">
        <is>
          <t>study</t>
        </is>
      </c>
    </row>
    <row r="94">
      <c r="A94" t="inlineStr">
        <is>
          <t>IA-EW-MET-9</t>
        </is>
      </c>
      <c r="B94" t="inlineStr">
        <is>
          <t>EW_9</t>
        </is>
      </c>
      <c r="C94" t="inlineStr">
        <is>
          <t>MFG_SHOP</t>
        </is>
      </c>
      <c r="D94" t="n">
        <v>61.341099</v>
      </c>
      <c r="E94" t="inlineStr">
        <is>
          <t>kg/d</t>
        </is>
      </c>
      <c r="F94" t="inlineStr">
        <is>
          <t>study</t>
        </is>
      </c>
    </row>
    <row r="95">
      <c r="A95" t="inlineStr">
        <is>
          <t>IA-EW-SHEET</t>
        </is>
      </c>
      <c r="B95" t="inlineStr">
        <is>
          <t>EW_9</t>
        </is>
      </c>
      <c r="C95" t="inlineStr">
        <is>
          <t>MET_MELT</t>
        </is>
      </c>
      <c r="D95" t="n">
        <v>13.9889</v>
      </c>
      <c r="E95" t="inlineStr">
        <is>
          <t>kg/d</t>
        </is>
      </c>
      <c r="F95" t="inlineStr">
        <is>
          <t>study</t>
        </is>
      </c>
    </row>
    <row r="96">
      <c r="A96" t="inlineStr">
        <is>
          <t>IA-EW1-CL2</t>
        </is>
      </c>
      <c r="B96" t="inlineStr">
        <is>
          <t>EW_1</t>
        </is>
      </c>
      <c r="C96" t="inlineStr">
        <is>
          <t>LEACH_CSTR_1</t>
        </is>
      </c>
      <c r="D96" t="n">
        <v>88.32517</v>
      </c>
      <c r="E96" t="inlineStr">
        <is>
          <t>kg/d</t>
        </is>
      </c>
      <c r="F96" t="inlineStr">
        <is>
          <t>study</t>
        </is>
      </c>
    </row>
    <row r="97">
      <c r="A97" t="inlineStr">
        <is>
          <t>IA-EW1-H2</t>
        </is>
      </c>
      <c r="B97" t="inlineStr">
        <is>
          <t>EW_1</t>
        </is>
      </c>
      <c r="C97" t="inlineStr">
        <is>
          <t>HDR_H2</t>
        </is>
      </c>
      <c r="D97" t="n">
        <v>0</v>
      </c>
      <c r="E97" t="inlineStr">
        <is>
          <t>kg/d</t>
        </is>
      </c>
      <c r="F97" t="inlineStr">
        <is>
          <t>study</t>
        </is>
      </c>
    </row>
    <row r="98">
      <c r="A98" t="inlineStr">
        <is>
          <t>IA-EW2-CL2</t>
        </is>
      </c>
      <c r="B98" t="inlineStr">
        <is>
          <t>EW_2</t>
        </is>
      </c>
      <c r="C98" t="inlineStr">
        <is>
          <t>LEACH_CSTR_1</t>
        </is>
      </c>
      <c r="D98" t="n">
        <v>88.35465600000001</v>
      </c>
      <c r="E98" t="inlineStr">
        <is>
          <t>kg/d</t>
        </is>
      </c>
      <c r="F98" t="inlineStr">
        <is>
          <t>study</t>
        </is>
      </c>
    </row>
    <row r="99">
      <c r="A99" t="inlineStr">
        <is>
          <t>IA-EW2-H2</t>
        </is>
      </c>
      <c r="B99" t="inlineStr">
        <is>
          <t>EW_2</t>
        </is>
      </c>
      <c r="C99" t="inlineStr">
        <is>
          <t>HDR_H2</t>
        </is>
      </c>
      <c r="D99" t="n">
        <v>0</v>
      </c>
      <c r="E99" t="inlineStr">
        <is>
          <t>kg/d</t>
        </is>
      </c>
      <c r="F99" t="inlineStr">
        <is>
          <t>study</t>
        </is>
      </c>
    </row>
    <row r="100">
      <c r="A100" t="inlineStr">
        <is>
          <t>IA-EW3-CL2</t>
        </is>
      </c>
      <c r="B100" t="inlineStr">
        <is>
          <t>EW_3</t>
        </is>
      </c>
      <c r="C100" t="inlineStr">
        <is>
          <t>LEACH_CSTR_1</t>
        </is>
      </c>
      <c r="D100" t="n">
        <v>33.164878</v>
      </c>
      <c r="E100" t="inlineStr">
        <is>
          <t>kg/d</t>
        </is>
      </c>
      <c r="F100" t="inlineStr">
        <is>
          <t>study</t>
        </is>
      </c>
    </row>
    <row r="101">
      <c r="A101" t="inlineStr">
        <is>
          <t>IA-EW3-H2B</t>
        </is>
      </c>
      <c r="B101" t="inlineStr">
        <is>
          <t>EW_3</t>
        </is>
      </c>
      <c r="C101" t="inlineStr">
        <is>
          <t>HDR_H2</t>
        </is>
      </c>
      <c r="D101" t="n">
        <v>0.143667</v>
      </c>
      <c r="E101" t="inlineStr">
        <is>
          <t>kg/d</t>
        </is>
      </c>
      <c r="F101" t="inlineStr">
        <is>
          <t>study</t>
        </is>
      </c>
    </row>
    <row r="102">
      <c r="A102" t="inlineStr">
        <is>
          <t>IA-EW4-CL2</t>
        </is>
      </c>
      <c r="B102" t="inlineStr">
        <is>
          <t>EW_4</t>
        </is>
      </c>
      <c r="C102" t="inlineStr">
        <is>
          <t>LEACH_CSTR_1</t>
        </is>
      </c>
      <c r="D102" t="n">
        <v>7.154886</v>
      </c>
      <c r="E102" t="inlineStr">
        <is>
          <t>kg/d</t>
        </is>
      </c>
      <c r="F102" t="inlineStr">
        <is>
          <t>study</t>
        </is>
      </c>
    </row>
    <row r="103">
      <c r="A103" t="inlineStr">
        <is>
          <t>IA-EW4-H2</t>
        </is>
      </c>
      <c r="B103" t="inlineStr">
        <is>
          <t>EW_4</t>
        </is>
      </c>
      <c r="C103" t="inlineStr">
        <is>
          <t>HDR_H2</t>
        </is>
      </c>
      <c r="D103" t="n">
        <v>0.030994</v>
      </c>
      <c r="E103" t="inlineStr">
        <is>
          <t>kg/d</t>
        </is>
      </c>
      <c r="F103" t="inlineStr">
        <is>
          <t>study</t>
        </is>
      </c>
    </row>
    <row r="104">
      <c r="A104" t="inlineStr">
        <is>
          <t>IA-EW4-N2</t>
        </is>
      </c>
      <c r="B104" t="inlineStr">
        <is>
          <t>EW_4</t>
        </is>
      </c>
      <c r="C104" t="inlineStr">
        <is>
          <t>HDR_N2</t>
        </is>
      </c>
      <c r="D104" t="n">
        <v>0.396575</v>
      </c>
      <c r="E104" t="inlineStr">
        <is>
          <t>kg/d</t>
        </is>
      </c>
      <c r="F104" t="inlineStr">
        <is>
          <t>study</t>
        </is>
      </c>
    </row>
    <row r="105">
      <c r="A105" t="inlineStr">
        <is>
          <t>IA-EW5-CL2</t>
        </is>
      </c>
      <c r="B105" t="inlineStr">
        <is>
          <t>EW_5</t>
        </is>
      </c>
      <c r="C105" t="inlineStr">
        <is>
          <t>LEACH_CSTR_1</t>
        </is>
      </c>
      <c r="D105" t="n">
        <v>7.406995</v>
      </c>
      <c r="E105" t="inlineStr">
        <is>
          <t>kg/d</t>
        </is>
      </c>
      <c r="F105" t="inlineStr">
        <is>
          <t>study</t>
        </is>
      </c>
    </row>
    <row r="106">
      <c r="A106" t="inlineStr">
        <is>
          <t>IA-EW5-H2B</t>
        </is>
      </c>
      <c r="B106" t="inlineStr">
        <is>
          <t>EW_5</t>
        </is>
      </c>
      <c r="C106" t="inlineStr">
        <is>
          <t>HDR_H2</t>
        </is>
      </c>
      <c r="D106" t="n">
        <v>0.032086</v>
      </c>
      <c r="E106" t="inlineStr">
        <is>
          <t>kg/d</t>
        </is>
      </c>
      <c r="F106" t="inlineStr">
        <is>
          <t>study</t>
        </is>
      </c>
    </row>
    <row r="107">
      <c r="A107" t="inlineStr">
        <is>
          <t>IA-EW6-CL2</t>
        </is>
      </c>
      <c r="B107" t="inlineStr">
        <is>
          <t>EW_6</t>
        </is>
      </c>
      <c r="C107" t="inlineStr">
        <is>
          <t>LEACH_CSTR_1</t>
        </is>
      </c>
      <c r="D107" t="n">
        <v>8.07044</v>
      </c>
      <c r="E107" t="inlineStr">
        <is>
          <t>kg/d</t>
        </is>
      </c>
      <c r="F107" t="inlineStr">
        <is>
          <t>study</t>
        </is>
      </c>
    </row>
    <row r="108">
      <c r="A108" t="inlineStr">
        <is>
          <t>IA-EW6-H2B</t>
        </is>
      </c>
      <c r="B108" t="inlineStr">
        <is>
          <t>EW_6</t>
        </is>
      </c>
      <c r="C108" t="inlineStr">
        <is>
          <t>HDR_H2</t>
        </is>
      </c>
      <c r="D108" t="n">
        <v>0.03496</v>
      </c>
      <c r="E108" t="inlineStr">
        <is>
          <t>kg/d</t>
        </is>
      </c>
      <c r="F108" t="inlineStr">
        <is>
          <t>study</t>
        </is>
      </c>
    </row>
    <row r="109">
      <c r="A109" t="inlineStr">
        <is>
          <t>IA-EW7-CL2</t>
        </is>
      </c>
      <c r="B109" t="inlineStr">
        <is>
          <t>EW_7</t>
        </is>
      </c>
      <c r="C109" t="inlineStr">
        <is>
          <t>LEACH_CSTR_1</t>
        </is>
      </c>
      <c r="D109" t="n">
        <v>104.952575</v>
      </c>
      <c r="E109" t="inlineStr">
        <is>
          <t>kg/d</t>
        </is>
      </c>
      <c r="F109" t="inlineStr">
        <is>
          <t>study</t>
        </is>
      </c>
    </row>
    <row r="110">
      <c r="A110" t="inlineStr">
        <is>
          <t>IA-EW7-H2B</t>
        </is>
      </c>
      <c r="B110" t="inlineStr">
        <is>
          <t>EW_7</t>
        </is>
      </c>
      <c r="C110" t="inlineStr">
        <is>
          <t>HDR_H2</t>
        </is>
      </c>
      <c r="D110" t="n">
        <v>0.454643</v>
      </c>
      <c r="E110" t="inlineStr">
        <is>
          <t>kg/d</t>
        </is>
      </c>
      <c r="F110" t="inlineStr">
        <is>
          <t>study</t>
        </is>
      </c>
    </row>
    <row r="111">
      <c r="A111" t="inlineStr">
        <is>
          <t>IA-EW8-CL2</t>
        </is>
      </c>
      <c r="B111" t="inlineStr">
        <is>
          <t>EW_8</t>
        </is>
      </c>
      <c r="C111" t="inlineStr">
        <is>
          <t>LEACH_CSTR_1</t>
        </is>
      </c>
      <c r="D111" t="n">
        <v>7.451224</v>
      </c>
      <c r="E111" t="inlineStr">
        <is>
          <t>kg/d</t>
        </is>
      </c>
      <c r="F111" t="inlineStr">
        <is>
          <t>study</t>
        </is>
      </c>
    </row>
    <row r="112">
      <c r="A112" t="inlineStr">
        <is>
          <t>IA-EW8-H2B</t>
        </is>
      </c>
      <c r="B112" t="inlineStr">
        <is>
          <t>EW_8</t>
        </is>
      </c>
      <c r="C112" t="inlineStr">
        <is>
          <t>HDR_H2</t>
        </is>
      </c>
      <c r="D112" t="n">
        <v>0.032278</v>
      </c>
      <c r="E112" t="inlineStr">
        <is>
          <t>kg/d</t>
        </is>
      </c>
      <c r="F112" t="inlineStr">
        <is>
          <t>study</t>
        </is>
      </c>
    </row>
    <row r="113">
      <c r="A113" t="inlineStr">
        <is>
          <t>IA-EW9-CL2</t>
        </is>
      </c>
      <c r="B113" t="inlineStr">
        <is>
          <t>EW_9</t>
        </is>
      </c>
      <c r="C113" t="inlineStr">
        <is>
          <t>LEACH_CSTR_1</t>
        </is>
      </c>
      <c r="D113" t="n">
        <v>111.134409</v>
      </c>
      <c r="E113" t="inlineStr">
        <is>
          <t>kg/d</t>
        </is>
      </c>
      <c r="F113" t="inlineStr">
        <is>
          <t>study</t>
        </is>
      </c>
    </row>
    <row r="114">
      <c r="A114" t="inlineStr">
        <is>
          <t>IA-FAB-SPENT</t>
        </is>
      </c>
      <c r="B114" t="inlineStr">
        <is>
          <t>WAFER_FAB</t>
        </is>
      </c>
      <c r="C114" t="inlineStr">
        <is>
          <t>LEACH_CSTR_1</t>
        </is>
      </c>
      <c r="D114" t="n">
        <v>66.502511</v>
      </c>
      <c r="E114" t="inlineStr">
        <is>
          <t>kg/d</t>
        </is>
      </c>
      <c r="F114" t="inlineStr">
        <is>
          <t>study</t>
        </is>
      </c>
    </row>
    <row r="115">
      <c r="A115" t="inlineStr">
        <is>
          <t>IA-FC-LEACH</t>
        </is>
      </c>
      <c r="B115" t="inlineStr">
        <is>
          <t>FUEL_CELL</t>
        </is>
      </c>
      <c r="C115" t="inlineStr">
        <is>
          <t>LEACH_CSTR_1</t>
        </is>
      </c>
      <c r="D115" t="n">
        <v>0.323377</v>
      </c>
      <c r="E115" t="inlineStr">
        <is>
          <t>kg/d</t>
        </is>
      </c>
      <c r="F115" t="inlineStr">
        <is>
          <t>study</t>
        </is>
      </c>
    </row>
    <row r="116">
      <c r="A116" t="inlineStr">
        <is>
          <t>IA-FEED-01</t>
        </is>
      </c>
      <c r="B116" t="inlineStr">
        <is>
          <t>HOPPER</t>
        </is>
      </c>
      <c r="C116" t="inlineStr">
        <is>
          <t>LEACH_CSTR_1</t>
        </is>
      </c>
      <c r="D116" t="n">
        <v>102.680001</v>
      </c>
      <c r="E116" t="inlineStr">
        <is>
          <t>kg/d</t>
        </is>
      </c>
      <c r="F116" t="inlineStr">
        <is>
          <t>study</t>
        </is>
      </c>
    </row>
    <row r="117">
      <c r="A117" t="inlineStr">
        <is>
          <t>IA-GREY-01</t>
        </is>
      </c>
      <c r="B117" t="inlineStr">
        <is>
          <t>GREY_TREAT</t>
        </is>
      </c>
      <c r="C117" t="inlineStr">
        <is>
          <t>LEACH_CSTR_1</t>
        </is>
      </c>
      <c r="D117" t="n">
        <v>244.641602</v>
      </c>
      <c r="E117" t="inlineStr">
        <is>
          <t>kg/d</t>
        </is>
      </c>
      <c r="F117" t="inlineStr">
        <is>
          <t>study</t>
        </is>
      </c>
    </row>
    <row r="118">
      <c r="A118" t="inlineStr">
        <is>
          <t>IA-H2O-MU</t>
        </is>
      </c>
      <c r="B118" t="inlineStr">
        <is>
          <t>NORTH_DOCK</t>
        </is>
      </c>
      <c r="C118" t="inlineStr">
        <is>
          <t>LEACH_CSTR_1</t>
        </is>
      </c>
      <c r="D118" t="n">
        <v>64.471934</v>
      </c>
      <c r="E118" t="inlineStr">
        <is>
          <t>kg/d</t>
        </is>
      </c>
      <c r="F118" t="inlineStr">
        <is>
          <t>study</t>
        </is>
      </c>
    </row>
    <row r="119">
      <c r="A119" t="inlineStr">
        <is>
          <t>IA-HDR-H2-01</t>
        </is>
      </c>
      <c r="B119" t="inlineStr">
        <is>
          <t>EW_1</t>
        </is>
      </c>
      <c r="C119" t="inlineStr">
        <is>
          <t>HDR_H2</t>
        </is>
      </c>
      <c r="D119" t="n">
        <v>0.382615</v>
      </c>
      <c r="E119" t="inlineStr">
        <is>
          <t>kg/d</t>
        </is>
      </c>
      <c r="F119" t="inlineStr">
        <is>
          <t>study</t>
        </is>
      </c>
    </row>
    <row r="120">
      <c r="A120" t="inlineStr">
        <is>
          <t>IA-HDR-H2-03</t>
        </is>
      </c>
      <c r="B120" t="inlineStr">
        <is>
          <t>EW_2</t>
        </is>
      </c>
      <c r="C120" t="inlineStr">
        <is>
          <t>HDR_H2</t>
        </is>
      </c>
      <c r="D120" t="n">
        <v>0.382743</v>
      </c>
      <c r="E120" t="inlineStr">
        <is>
          <t>kg/d</t>
        </is>
      </c>
      <c r="F120" t="inlineStr">
        <is>
          <t>study</t>
        </is>
      </c>
    </row>
    <row r="121">
      <c r="A121" t="inlineStr">
        <is>
          <t>IA-HDR-H2-04</t>
        </is>
      </c>
      <c r="B121" t="inlineStr">
        <is>
          <t>EW_9</t>
        </is>
      </c>
      <c r="C121" t="inlineStr">
        <is>
          <t>HDR_H2</t>
        </is>
      </c>
      <c r="D121" t="n">
        <v>0.481422</v>
      </c>
      <c r="E121" t="inlineStr">
        <is>
          <t>kg/d</t>
        </is>
      </c>
      <c r="F121" t="inlineStr">
        <is>
          <t>study</t>
        </is>
      </c>
    </row>
    <row r="122">
      <c r="A122" t="inlineStr">
        <is>
          <t>IA-HF-SRC</t>
        </is>
      </c>
      <c r="B122" t="inlineStr">
        <is>
          <t>LEACH_CSTR_1</t>
        </is>
      </c>
      <c r="C122" t="inlineStr">
        <is>
          <t>F_RECOVER</t>
        </is>
      </c>
      <c r="D122" t="n">
        <v>1.5</v>
      </c>
      <c r="E122" t="inlineStr">
        <is>
          <t>kg/d</t>
        </is>
      </c>
      <c r="F122" t="inlineStr">
        <is>
          <t>study</t>
        </is>
      </c>
    </row>
    <row r="123">
      <c r="A123" t="inlineStr">
        <is>
          <t>IA-HOP-01</t>
        </is>
      </c>
      <c r="B123" t="inlineStr">
        <is>
          <t>HOPPER</t>
        </is>
      </c>
      <c r="C123" t="inlineStr">
        <is>
          <t>LEACH_CSTR_1</t>
        </is>
      </c>
      <c r="D123" t="n">
        <v>530.73594</v>
      </c>
      <c r="E123" t="inlineStr">
        <is>
          <t>kg/d</t>
        </is>
      </c>
      <c r="F123" t="inlineStr">
        <is>
          <t>study</t>
        </is>
      </c>
    </row>
    <row r="124">
      <c r="A124" t="inlineStr">
        <is>
          <t>IA-HX8</t>
        </is>
      </c>
      <c r="B124" t="inlineStr">
        <is>
          <t>EW_1</t>
        </is>
      </c>
      <c r="C124" t="inlineStr">
        <is>
          <t>HX8</t>
        </is>
      </c>
      <c r="D124" t="n">
        <v>4.572</v>
      </c>
      <c r="E124" t="inlineStr">
        <is>
          <t>kW</t>
        </is>
      </c>
      <c r="F124" t="inlineStr">
        <is>
          <t>study</t>
        </is>
      </c>
    </row>
    <row r="125">
      <c r="A125" t="inlineStr">
        <is>
          <t>IA-LEACH-ASU</t>
        </is>
      </c>
      <c r="B125" t="inlineStr">
        <is>
          <t>LEACH_CSTR_1</t>
        </is>
      </c>
      <c r="C125" t="inlineStr">
        <is>
          <t>CRYO_ASU</t>
        </is>
      </c>
      <c r="D125" t="n">
        <v>0</v>
      </c>
      <c r="E125" t="inlineStr">
        <is>
          <t>kg/d</t>
        </is>
      </c>
      <c r="F125" t="inlineStr">
        <is>
          <t>study</t>
        </is>
      </c>
    </row>
    <row r="126">
      <c r="A126" t="inlineStr">
        <is>
          <t>IA-LEACH-BD</t>
        </is>
      </c>
      <c r="B126" t="inlineStr">
        <is>
          <t>LEACH_CSTR_1</t>
        </is>
      </c>
      <c r="C126" t="inlineStr">
        <is>
          <t>NUTRIENT_DOSE</t>
        </is>
      </c>
      <c r="D126" t="n">
        <v>109.63</v>
      </c>
      <c r="E126" t="inlineStr">
        <is>
          <t>kg/d</t>
        </is>
      </c>
      <c r="F126" t="inlineStr">
        <is>
          <t>study</t>
        </is>
      </c>
    </row>
    <row r="127">
      <c r="A127" t="inlineStr">
        <is>
          <t>IA-LEACH-FLUE</t>
        </is>
      </c>
      <c r="B127" t="inlineStr">
        <is>
          <t>LEACH_CSTR_1</t>
        </is>
      </c>
      <c r="C127" t="inlineStr">
        <is>
          <t>FLUE_KO</t>
        </is>
      </c>
      <c r="D127" t="n">
        <v>135.9019</v>
      </c>
      <c r="E127" t="inlineStr">
        <is>
          <t>kg/d</t>
        </is>
      </c>
      <c r="F127" t="inlineStr">
        <is>
          <t>study</t>
        </is>
      </c>
    </row>
    <row r="128">
      <c r="A128" t="inlineStr">
        <is>
          <t>IA-LEACH-H2</t>
        </is>
      </c>
      <c r="B128" t="inlineStr">
        <is>
          <t>LEACH_CSTR_1</t>
        </is>
      </c>
      <c r="C128" t="inlineStr">
        <is>
          <t>HDR_H2</t>
        </is>
      </c>
      <c r="D128" t="n">
        <v>0</v>
      </c>
      <c r="E128" t="inlineStr">
        <is>
          <t>kg/d</t>
        </is>
      </c>
      <c r="F128" t="inlineStr">
        <is>
          <t>study</t>
        </is>
      </c>
    </row>
    <row r="129">
      <c r="A129" t="inlineStr">
        <is>
          <t>IA-LEACH-HOP</t>
        </is>
      </c>
      <c r="B129" t="inlineStr">
        <is>
          <t>LEACH_CSTR_1</t>
        </is>
      </c>
      <c r="C129" t="inlineStr">
        <is>
          <t>HOPPER</t>
        </is>
      </c>
      <c r="D129" t="n">
        <v>35.355</v>
      </c>
      <c r="E129" t="inlineStr">
        <is>
          <t>kg/d</t>
        </is>
      </c>
      <c r="F129" t="inlineStr">
        <is>
          <t>study</t>
        </is>
      </c>
    </row>
    <row r="130">
      <c r="A130" t="inlineStr">
        <is>
          <t>IA-LEACH-NOX</t>
        </is>
      </c>
      <c r="B130" t="inlineStr">
        <is>
          <t>LEACH_CSTR_1</t>
        </is>
      </c>
      <c r="C130" t="inlineStr">
        <is>
          <t>NOX_SCRUB</t>
        </is>
      </c>
      <c r="D130" t="n">
        <v>195.024701</v>
      </c>
      <c r="E130" t="inlineStr">
        <is>
          <t>kg/d</t>
        </is>
      </c>
      <c r="F130" t="inlineStr">
        <is>
          <t>study</t>
        </is>
      </c>
    </row>
    <row r="131">
      <c r="A131" t="inlineStr">
        <is>
          <t>IA-LEACH-VCD</t>
        </is>
      </c>
      <c r="B131" t="inlineStr">
        <is>
          <t>LEACH_CSTR_1</t>
        </is>
      </c>
      <c r="C131" t="inlineStr">
        <is>
          <t>VCD_TRAIN</t>
        </is>
      </c>
      <c r="D131" t="n">
        <v>168.058502</v>
      </c>
      <c r="E131" t="inlineStr">
        <is>
          <t>kg/d</t>
        </is>
      </c>
      <c r="F131" t="inlineStr">
        <is>
          <t>study</t>
        </is>
      </c>
    </row>
    <row r="132">
      <c r="A132" t="inlineStr">
        <is>
          <t>IA-NA-PURGE</t>
        </is>
      </c>
      <c r="B132" t="inlineStr">
        <is>
          <t>LEACH_CSTR_1</t>
        </is>
      </c>
      <c r="C132" t="inlineStr">
        <is>
          <t>NORTH_DOCK</t>
        </is>
      </c>
      <c r="D132" t="n">
        <v>4.3936</v>
      </c>
      <c r="E132" t="inlineStr">
        <is>
          <t>kg/d</t>
        </is>
      </c>
      <c r="F132" t="inlineStr">
        <is>
          <t>study</t>
        </is>
      </c>
    </row>
    <row r="133">
      <c r="A133" t="inlineStr">
        <is>
          <t>IA-NAOH-MU</t>
        </is>
      </c>
      <c r="B133" t="inlineStr">
        <is>
          <t>NORTH_DOCK</t>
        </is>
      </c>
      <c r="C133" t="inlineStr">
        <is>
          <t>EVAP_BASE</t>
        </is>
      </c>
      <c r="D133" t="n">
        <v>4.3936</v>
      </c>
      <c r="E133" t="inlineStr">
        <is>
          <t>kg/d</t>
        </is>
      </c>
      <c r="F133" t="inlineStr">
        <is>
          <t>study</t>
        </is>
      </c>
    </row>
    <row r="134">
      <c r="A134" t="inlineStr">
        <is>
          <t>IA-NUT-LEACH</t>
        </is>
      </c>
      <c r="B134" t="inlineStr">
        <is>
          <t>NUTRIENT_DOSE</t>
        </is>
      </c>
      <c r="C134" t="inlineStr">
        <is>
          <t>LEACH_CSTR_1</t>
        </is>
      </c>
      <c r="D134" t="n">
        <v>82.317318</v>
      </c>
      <c r="E134" t="inlineStr">
        <is>
          <t>kg/d</t>
        </is>
      </c>
      <c r="F134" t="inlineStr">
        <is>
          <t>study</t>
        </is>
      </c>
    </row>
    <row r="135">
      <c r="A135" t="inlineStr">
        <is>
          <t>IA-PHOS-SRC</t>
        </is>
      </c>
      <c r="B135" t="inlineStr">
        <is>
          <t>LEACH_CSTR_1</t>
        </is>
      </c>
      <c r="C135" t="inlineStr">
        <is>
          <t>WS_PHOS</t>
        </is>
      </c>
      <c r="D135" t="n">
        <v>0.62</v>
      </c>
      <c r="E135" t="inlineStr">
        <is>
          <t>kg/d</t>
        </is>
      </c>
      <c r="F135" t="inlineStr">
        <is>
          <t>study</t>
        </is>
      </c>
    </row>
    <row r="136">
      <c r="A136" t="inlineStr">
        <is>
          <t>IA-PLAST-01</t>
        </is>
      </c>
      <c r="B136" t="inlineStr">
        <is>
          <t>FLOAT_SINK</t>
        </is>
      </c>
      <c r="C136" t="inlineStr">
        <is>
          <t>OIL_DRYER</t>
        </is>
      </c>
      <c r="D136" t="n">
        <v>33</v>
      </c>
      <c r="E136" t="inlineStr">
        <is>
          <t>kg/d</t>
        </is>
      </c>
      <c r="F136" t="inlineStr">
        <is>
          <t>study</t>
        </is>
      </c>
    </row>
    <row r="137">
      <c r="A137" t="inlineStr">
        <is>
          <t>IA-POL-01</t>
        </is>
      </c>
      <c r="B137" t="inlineStr">
        <is>
          <t>POLISH_BANK</t>
        </is>
      </c>
      <c r="C137" t="inlineStr">
        <is>
          <t>BMED_UPW_POLISH</t>
        </is>
      </c>
      <c r="F137" t="inlineStr">
        <is>
          <t>null</t>
        </is>
      </c>
    </row>
    <row r="138">
      <c r="A138" t="inlineStr">
        <is>
          <t>IA-POL-02</t>
        </is>
      </c>
      <c r="B138" t="inlineStr">
        <is>
          <t>POLISH_BANK</t>
        </is>
      </c>
      <c r="C138" t="inlineStr">
        <is>
          <t>CONTINUOUS_RECYCLE</t>
        </is>
      </c>
      <c r="D138" t="n">
        <v>3302.941356</v>
      </c>
      <c r="E138" t="inlineStr">
        <is>
          <t>kg/d</t>
        </is>
      </c>
      <c r="F138" t="inlineStr">
        <is>
          <t>study</t>
        </is>
      </c>
    </row>
    <row r="139">
      <c r="A139" t="inlineStr">
        <is>
          <t>IA-POL-CAKE</t>
        </is>
      </c>
      <c r="B139" t="inlineStr">
        <is>
          <t>POLISH_BANK</t>
        </is>
      </c>
      <c r="C139" t="inlineStr">
        <is>
          <t>MFG_SHOP</t>
        </is>
      </c>
      <c r="D139" t="n">
        <v>217.369993</v>
      </c>
      <c r="E139" t="inlineStr">
        <is>
          <t>kg/d</t>
        </is>
      </c>
      <c r="F139" t="inlineStr">
        <is>
          <t>study</t>
        </is>
      </c>
    </row>
    <row r="140">
      <c r="A140" t="inlineStr">
        <is>
          <t>IA-REC-01</t>
        </is>
      </c>
      <c r="B140" t="inlineStr">
        <is>
          <t>CONTINUOUS_RECYCLE</t>
        </is>
      </c>
      <c r="C140" t="inlineStr">
        <is>
          <t>LEACH_CSTR_1</t>
        </is>
      </c>
      <c r="D140" t="n">
        <v>3302.941356</v>
      </c>
      <c r="E140" t="inlineStr">
        <is>
          <t>kg/d</t>
        </is>
      </c>
      <c r="F140" t="inlineStr">
        <is>
          <t>study</t>
        </is>
      </c>
    </row>
    <row r="141">
      <c r="A141" t="inlineStr">
        <is>
          <t>IA-SCRUB-SRC</t>
        </is>
      </c>
      <c r="B141" t="inlineStr">
        <is>
          <t>LEACH_CSTR_1</t>
        </is>
      </c>
      <c r="C141" t="inlineStr">
        <is>
          <t>ACID_POLISH_SCRUB</t>
        </is>
      </c>
      <c r="D141" t="n">
        <v>27.342833</v>
      </c>
      <c r="E141" t="inlineStr">
        <is>
          <t>kg/d</t>
        </is>
      </c>
      <c r="F141" t="inlineStr">
        <is>
          <t>study</t>
        </is>
      </c>
    </row>
    <row r="142">
      <c r="A142" t="inlineStr">
        <is>
          <t>IA-SIC-RET</t>
        </is>
      </c>
      <c r="B142" t="inlineStr">
        <is>
          <t>NUTRIENT_DOSE</t>
        </is>
      </c>
      <c r="C142" t="inlineStr">
        <is>
          <t>LEACH_CSTR_1</t>
        </is>
      </c>
      <c r="D142" t="n">
        <v>0.466189</v>
      </c>
      <c r="E142" t="inlineStr">
        <is>
          <t>kg/d</t>
        </is>
      </c>
      <c r="F142" t="inlineStr">
        <is>
          <t>study</t>
        </is>
      </c>
    </row>
    <row r="143">
      <c r="A143" t="inlineStr">
        <is>
          <t>IA-SINK-01</t>
        </is>
      </c>
      <c r="B143" t="inlineStr">
        <is>
          <t>LEACH_CSTR_1</t>
        </is>
      </c>
      <c r="C143" t="inlineStr">
        <is>
          <t>FLOAT_SINK</t>
        </is>
      </c>
      <c r="D143" t="n">
        <v>376.1</v>
      </c>
      <c r="E143" t="inlineStr">
        <is>
          <t>kg/d</t>
        </is>
      </c>
      <c r="F143" t="inlineStr">
        <is>
          <t>study</t>
        </is>
      </c>
    </row>
    <row r="144">
      <c r="A144" t="inlineStr">
        <is>
          <t>IA-TRIM-HX5</t>
        </is>
      </c>
      <c r="B144" t="inlineStr">
        <is>
          <t>RECTIFIER</t>
        </is>
      </c>
      <c r="C144" t="inlineStr">
        <is>
          <t>LEACH_CSTR_1</t>
        </is>
      </c>
      <c r="D144" t="n">
        <v>15.882</v>
      </c>
      <c r="E144" t="inlineStr">
        <is>
          <t>kW</t>
        </is>
      </c>
      <c r="F144" t="inlineStr">
        <is>
          <t>study</t>
        </is>
      </c>
    </row>
    <row r="145">
      <c r="A145" t="inlineStr">
        <is>
          <t>IA-UPW-REJ</t>
        </is>
      </c>
      <c r="B145" t="inlineStr">
        <is>
          <t>BMED_UPW_POLISH</t>
        </is>
      </c>
      <c r="C145" t="inlineStr">
        <is>
          <t>LEACH_CSTR_1</t>
        </is>
      </c>
      <c r="D145" t="n">
        <v>6.045005</v>
      </c>
      <c r="E145" t="inlineStr">
        <is>
          <t>kg/d</t>
        </is>
      </c>
      <c r="F145" t="inlineStr">
        <is>
          <t>study</t>
        </is>
      </c>
    </row>
    <row r="146">
      <c r="A146" t="inlineStr">
        <is>
          <t>IA-VCD-BD</t>
        </is>
      </c>
      <c r="B146" t="inlineStr">
        <is>
          <t>VCD_TRAIN</t>
        </is>
      </c>
      <c r="C146" t="inlineStr">
        <is>
          <t>LEACH_CSTR_1</t>
        </is>
      </c>
      <c r="D146" t="n">
        <v>6.709424</v>
      </c>
      <c r="E146" t="inlineStr">
        <is>
          <t>kg/d</t>
        </is>
      </c>
      <c r="F146" t="inlineStr">
        <is>
          <t>study</t>
        </is>
      </c>
    </row>
    <row r="147">
      <c r="A147" t="inlineStr">
        <is>
          <t>IA-VS-NAOH</t>
        </is>
      </c>
      <c r="B147" t="inlineStr">
        <is>
          <t>BMED_BASE</t>
        </is>
      </c>
      <c r="C147" t="inlineStr">
        <is>
          <t>EVAP_ACID_VS</t>
        </is>
      </c>
      <c r="D147" t="n">
        <v>0.0005</v>
      </c>
      <c r="E147" t="inlineStr">
        <is>
          <t>kg/d</t>
        </is>
      </c>
      <c r="F147" t="inlineStr">
        <is>
          <t>study</t>
        </is>
      </c>
    </row>
    <row r="148">
      <c r="A148" t="inlineStr">
        <is>
          <t>IA-VS-OFF</t>
        </is>
      </c>
      <c r="B148" t="inlineStr">
        <is>
          <t>EVAP_ACID_VS</t>
        </is>
      </c>
      <c r="C148" t="inlineStr">
        <is>
          <t>ALK_SCRUBBER</t>
        </is>
      </c>
      <c r="D148" t="n">
        <v>0.0292</v>
      </c>
      <c r="E148" t="inlineStr">
        <is>
          <t>kg/d</t>
        </is>
      </c>
      <c r="F148" t="inlineStr">
        <is>
          <t>study</t>
        </is>
      </c>
    </row>
    <row r="149">
      <c r="A149" t="inlineStr">
        <is>
          <t>IA-VS-SPENT</t>
        </is>
      </c>
      <c r="B149" t="inlineStr">
        <is>
          <t>EVAP_ACID_VS</t>
        </is>
      </c>
      <c r="C149" t="inlineStr">
        <is>
          <t>BMED_ACID</t>
        </is>
      </c>
      <c r="D149" t="n">
        <v>0.0005999999999999999</v>
      </c>
      <c r="E149" t="inlineStr">
        <is>
          <t>kg/d</t>
        </is>
      </c>
      <c r="F149" t="inlineStr">
        <is>
          <t>study</t>
        </is>
      </c>
    </row>
    <row r="150">
      <c r="A150" t="inlineStr">
        <is>
          <t>IA-WET-FLOAT-01</t>
        </is>
      </c>
      <c r="B150" t="inlineStr">
        <is>
          <t>FLOAT_SINK</t>
        </is>
      </c>
      <c r="C150" t="inlineStr">
        <is>
          <t>LEACH_CSTR_1</t>
        </is>
      </c>
      <c r="D150" t="n">
        <v>343.1</v>
      </c>
      <c r="E150" t="inlineStr">
        <is>
          <t>kg/d</t>
        </is>
      </c>
      <c r="F150" t="inlineStr">
        <is>
          <t>study</t>
        </is>
      </c>
    </row>
    <row r="151">
      <c r="A151" t="inlineStr">
        <is>
          <t>IA-ZNBR-MU</t>
        </is>
      </c>
      <c r="B151" t="inlineStr">
        <is>
          <t>LEACH_CSTR_1</t>
        </is>
      </c>
      <c r="C151" t="inlineStr">
        <is>
          <t>ZNBR2</t>
        </is>
      </c>
      <c r="D151" t="n">
        <v>8.486482000000001</v>
      </c>
      <c r="E151" t="inlineStr">
        <is>
          <t>kg/d</t>
        </is>
      </c>
      <c r="F151" t="inlineStr">
        <is>
          <t>study</t>
        </is>
      </c>
    </row>
    <row r="152">
      <c r="A152" t="inlineStr">
        <is>
          <t>LI_TO_GREASE</t>
        </is>
      </c>
      <c r="B152" t="inlineStr">
        <is>
          <t>LI_RECOVER</t>
        </is>
      </c>
      <c r="C152" t="inlineStr">
        <is>
          <t>GREASE_LI</t>
        </is>
      </c>
      <c r="F152" t="inlineStr">
        <is>
          <t>null</t>
        </is>
      </c>
    </row>
    <row r="153">
      <c r="A153" t="inlineStr">
        <is>
          <t>MG_POT_CL2</t>
        </is>
      </c>
      <c r="B153" t="inlineStr">
        <is>
          <t>MG_POT</t>
        </is>
      </c>
      <c r="C153" t="inlineStr">
        <is>
          <t>CRU</t>
        </is>
      </c>
      <c r="D153" t="n">
        <v>0</v>
      </c>
      <c r="E153" t="inlineStr">
        <is>
          <t>kg/d</t>
        </is>
      </c>
      <c r="F153" t="inlineStr">
        <is>
          <t>study</t>
        </is>
      </c>
    </row>
    <row r="154">
      <c r="A154" t="inlineStr">
        <is>
          <t>MO_CELL_ANODE_GAS_TO_CRU</t>
        </is>
      </c>
      <c r="B154" t="inlineStr">
        <is>
          <t>MO_CELL</t>
        </is>
      </c>
      <c r="C154" t="inlineStr">
        <is>
          <t>CRU</t>
        </is>
      </c>
      <c r="D154" t="n">
        <v>0</v>
      </c>
      <c r="E154" t="inlineStr">
        <is>
          <t>kg/d</t>
        </is>
      </c>
      <c r="F154" t="inlineStr">
        <is>
          <t>study</t>
        </is>
      </c>
    </row>
    <row r="155">
      <c r="A155" t="inlineStr">
        <is>
          <t>MO_CELL_RAFFINATE</t>
        </is>
      </c>
      <c r="B155" t="inlineStr">
        <is>
          <t>MO_CELL</t>
        </is>
      </c>
      <c r="C155" t="inlineStr">
        <is>
          <t>POLISH_BANK</t>
        </is>
      </c>
      <c r="D155" t="n">
        <v>0</v>
      </c>
      <c r="E155" t="inlineStr">
        <is>
          <t>kg/d</t>
        </is>
      </c>
      <c r="F155" t="inlineStr">
        <is>
          <t>study</t>
        </is>
      </c>
    </row>
    <row r="156">
      <c r="A156" t="inlineStr">
        <is>
          <t>PCA_TO_GREASE</t>
        </is>
      </c>
      <c r="B156" t="inlineStr">
        <is>
          <t>P_CA</t>
        </is>
      </c>
      <c r="C156" t="inlineStr">
        <is>
          <t>GREASE_CA</t>
        </is>
      </c>
      <c r="F156" t="inlineStr">
        <is>
          <t>null</t>
        </is>
      </c>
    </row>
    <row r="157">
      <c r="A157" t="inlineStr">
        <is>
          <t>POLISH_TO_LI</t>
        </is>
      </c>
      <c r="B157" t="inlineStr">
        <is>
          <t>POLISH_BANK</t>
        </is>
      </c>
      <c r="C157" t="inlineStr">
        <is>
          <t>LI_RECOVER</t>
        </is>
      </c>
      <c r="F157" t="inlineStr">
        <is>
          <t>null</t>
        </is>
      </c>
    </row>
    <row r="158">
      <c r="A158" t="inlineStr">
        <is>
          <t>POLYF_RECLAIM</t>
        </is>
      </c>
      <c r="B158" t="inlineStr">
        <is>
          <t>POLY_F</t>
        </is>
      </c>
      <c r="C158" t="inlineStr">
        <is>
          <t>F_RECOVER</t>
        </is>
      </c>
      <c r="D158" t="n">
        <v>0.02</v>
      </c>
      <c r="E158" t="inlineStr">
        <is>
          <t>kg/d</t>
        </is>
      </c>
      <c r="F158" t="inlineStr">
        <is>
          <t>study</t>
        </is>
      </c>
    </row>
    <row r="159">
      <c r="A159" t="inlineStr">
        <is>
          <t>POLY_TO_WET</t>
        </is>
      </c>
      <c r="B159" t="inlineStr">
        <is>
          <t>POLY_STOCK</t>
        </is>
      </c>
      <c r="C159" t="inlineStr">
        <is>
          <t>LEACH_CSTR_1</t>
        </is>
      </c>
      <c r="D159" t="n">
        <v>0.026739</v>
      </c>
      <c r="E159" t="inlineStr">
        <is>
          <t>kg/d</t>
        </is>
      </c>
      <c r="F159" t="inlineStr">
        <is>
          <t>study</t>
        </is>
      </c>
    </row>
    <row r="160">
      <c r="A160" t="inlineStr">
        <is>
          <t>S08</t>
        </is>
      </c>
      <c r="B160" t="inlineStr">
        <is>
          <t>LEACH_CSTR_1</t>
        </is>
      </c>
      <c r="C160" t="inlineStr">
        <is>
          <t>MFG_SHOP</t>
        </is>
      </c>
      <c r="D160" t="n">
        <v>41.996408</v>
      </c>
      <c r="E160" t="inlineStr">
        <is>
          <t>kg/d</t>
        </is>
      </c>
      <c r="F160" t="inlineStr">
        <is>
          <t>study</t>
        </is>
      </c>
    </row>
    <row r="161">
      <c r="A161" t="inlineStr">
        <is>
          <t>S09</t>
        </is>
      </c>
      <c r="B161" t="inlineStr">
        <is>
          <t>BMED_ACID</t>
        </is>
      </c>
      <c r="C161" t="inlineStr">
        <is>
          <t>WET_BENCH</t>
        </is>
      </c>
      <c r="D161" t="n">
        <v>9.277184</v>
      </c>
      <c r="E161" t="inlineStr">
        <is>
          <t>kg/d</t>
        </is>
      </c>
      <c r="F161" t="inlineStr">
        <is>
          <t>study</t>
        </is>
      </c>
    </row>
    <row r="162">
      <c r="A162" t="inlineStr">
        <is>
          <t>S10</t>
        </is>
      </c>
      <c r="B162" t="inlineStr">
        <is>
          <t>WET_BENCH</t>
        </is>
      </c>
      <c r="C162" t="inlineStr">
        <is>
          <t>LEACH_CSTR_1</t>
        </is>
      </c>
      <c r="D162" t="n">
        <v>79.11577699999999</v>
      </c>
      <c r="E162" t="inlineStr">
        <is>
          <t>kg/d</t>
        </is>
      </c>
      <c r="F162" t="inlineStr">
        <is>
          <t>study</t>
        </is>
      </c>
    </row>
    <row r="163">
      <c r="A163" t="inlineStr">
        <is>
          <t>S100</t>
        </is>
      </c>
      <c r="B163" t="inlineStr">
        <is>
          <t>Q4_BUS</t>
        </is>
      </c>
      <c r="C163" t="inlineStr">
        <is>
          <t>LEACH_CSTR_1</t>
        </is>
      </c>
      <c r="D163" t="n">
        <v>0.5322</v>
      </c>
      <c r="E163" t="inlineStr">
        <is>
          <t>kW</t>
        </is>
      </c>
      <c r="F163" t="inlineStr">
        <is>
          <t>study</t>
        </is>
      </c>
    </row>
    <row r="164">
      <c r="A164" t="inlineStr">
        <is>
          <t>S16</t>
        </is>
      </c>
      <c r="B164" t="inlineStr">
        <is>
          <t>MFG_SHOP</t>
        </is>
      </c>
      <c r="C164" t="inlineStr">
        <is>
          <t>LEACH_CSTR_1</t>
        </is>
      </c>
      <c r="D164" t="n">
        <v>12.299499</v>
      </c>
      <c r="E164" t="inlineStr">
        <is>
          <t>kg/d</t>
        </is>
      </c>
      <c r="F164" t="inlineStr">
        <is>
          <t>study</t>
        </is>
      </c>
    </row>
    <row r="165">
      <c r="A165" t="inlineStr">
        <is>
          <t>S17-BMED</t>
        </is>
      </c>
      <c r="B165" t="inlineStr">
        <is>
          <t>SOL_ARK_60K</t>
        </is>
      </c>
      <c r="C165" t="inlineStr">
        <is>
          <t>BMED_ACID</t>
        </is>
      </c>
      <c r="D165" t="n">
        <v>5.6267</v>
      </c>
      <c r="E165" t="inlineStr">
        <is>
          <t>kW</t>
        </is>
      </c>
      <c r="F165" t="inlineStr">
        <is>
          <t>study</t>
        </is>
      </c>
    </row>
    <row r="166">
      <c r="A166" t="inlineStr">
        <is>
          <t>S19</t>
        </is>
      </c>
      <c r="B166" t="inlineStr">
        <is>
          <t>BAGHOUSE</t>
        </is>
      </c>
      <c r="C166" t="inlineStr">
        <is>
          <t>LEACH_CSTR_1</t>
        </is>
      </c>
      <c r="D166" t="n">
        <v>0</v>
      </c>
      <c r="E166" t="inlineStr">
        <is>
          <t>kg/d</t>
        </is>
      </c>
      <c r="F166" t="inlineStr">
        <is>
          <t>study</t>
        </is>
      </c>
    </row>
    <row r="167">
      <c r="A167" t="inlineStr">
        <is>
          <t>S28</t>
        </is>
      </c>
      <c r="B167" t="inlineStr">
        <is>
          <t>VCD_TRAIN</t>
        </is>
      </c>
      <c r="C167" t="inlineStr">
        <is>
          <t>LEACH_CSTR_1</t>
        </is>
      </c>
      <c r="D167" t="n">
        <v>17.877059</v>
      </c>
      <c r="E167" t="inlineStr">
        <is>
          <t>kg/d</t>
        </is>
      </c>
      <c r="F167" t="inlineStr">
        <is>
          <t>study</t>
        </is>
      </c>
    </row>
    <row r="168">
      <c r="A168" t="inlineStr">
        <is>
          <t>S39</t>
        </is>
      </c>
      <c r="B168" t="inlineStr">
        <is>
          <t>WAFER_FAB</t>
        </is>
      </c>
      <c r="C168" t="inlineStr">
        <is>
          <t>LEACH_CSTR_1</t>
        </is>
      </c>
      <c r="D168" t="n">
        <v>3.310001</v>
      </c>
      <c r="E168" t="inlineStr">
        <is>
          <t>kg/d</t>
        </is>
      </c>
      <c r="F168" t="inlineStr">
        <is>
          <t>study</t>
        </is>
      </c>
    </row>
    <row r="169">
      <c r="A169" t="inlineStr">
        <is>
          <t>S66</t>
        </is>
      </c>
      <c r="B169" t="inlineStr">
        <is>
          <t>ACID_POLISH_SCRUB</t>
        </is>
      </c>
      <c r="C169" t="inlineStr">
        <is>
          <t>CRU</t>
        </is>
      </c>
      <c r="D169" t="n">
        <v>27.372033</v>
      </c>
      <c r="E169" t="inlineStr">
        <is>
          <t>kg/d</t>
        </is>
      </c>
      <c r="F169" t="inlineStr">
        <is>
          <t>study</t>
        </is>
      </c>
    </row>
    <row r="170">
      <c r="A170" t="inlineStr">
        <is>
          <t>S68</t>
        </is>
      </c>
      <c r="B170" t="inlineStr">
        <is>
          <t>CRYO_AHU</t>
        </is>
      </c>
      <c r="C170" t="inlineStr">
        <is>
          <t>LEACH_CSTR_1</t>
        </is>
      </c>
      <c r="D170" t="n">
        <v>78.98790099999999</v>
      </c>
      <c r="E170" t="inlineStr">
        <is>
          <t>kg/d</t>
        </is>
      </c>
      <c r="F170" t="inlineStr">
        <is>
          <t>study</t>
        </is>
      </c>
    </row>
    <row r="171">
      <c r="A171" t="inlineStr">
        <is>
          <t>S72</t>
        </is>
      </c>
      <c r="B171" t="inlineStr">
        <is>
          <t>MET_SCRUB</t>
        </is>
      </c>
      <c r="C171" t="inlineStr">
        <is>
          <t>LEACH_CSTR_1</t>
        </is>
      </c>
      <c r="D171" t="n">
        <v>2.4442</v>
      </c>
      <c r="E171" t="inlineStr">
        <is>
          <t>kg/d</t>
        </is>
      </c>
      <c r="F171" t="inlineStr">
        <is>
          <t>study</t>
        </is>
      </c>
    </row>
    <row r="172">
      <c r="A172" t="inlineStr">
        <is>
          <t>SALT_TO_FLUX</t>
        </is>
      </c>
      <c r="B172" t="inlineStr">
        <is>
          <t>SALT_FEED</t>
        </is>
      </c>
      <c r="C172" t="inlineStr">
        <is>
          <t>FLUX_PREP</t>
        </is>
      </c>
      <c r="D172" t="n">
        <v>0</v>
      </c>
      <c r="E172" t="inlineStr">
        <is>
          <t>kg/d</t>
        </is>
      </c>
      <c r="F172" t="inlineStr">
        <is>
          <t>study</t>
        </is>
      </c>
    </row>
    <row r="173">
      <c r="A173" t="inlineStr">
        <is>
          <t>SF-EVAP_ACID</t>
        </is>
      </c>
      <c r="B173" t="inlineStr">
        <is>
          <t>SOL_ARK_60K</t>
        </is>
      </c>
      <c r="C173" t="inlineStr">
        <is>
          <t>EVAP_ACID</t>
        </is>
      </c>
      <c r="D173" t="n">
        <v>1.498</v>
      </c>
      <c r="E173" t="inlineStr">
        <is>
          <t>kW</t>
        </is>
      </c>
      <c r="F173" t="inlineStr">
        <is>
          <t>study</t>
        </is>
      </c>
    </row>
    <row r="174">
      <c r="A174" t="inlineStr">
        <is>
          <t>SF-EVAP_ACID_VS</t>
        </is>
      </c>
      <c r="B174" t="inlineStr">
        <is>
          <t>SOL_ARK_60K</t>
        </is>
      </c>
      <c r="C174" t="inlineStr">
        <is>
          <t>EVAP_ACID_VS</t>
        </is>
      </c>
      <c r="D174" t="n">
        <v>0.0238</v>
      </c>
      <c r="E174" t="inlineStr">
        <is>
          <t>kW</t>
        </is>
      </c>
      <c r="F174" t="inlineStr">
        <is>
          <t>study</t>
        </is>
      </c>
    </row>
    <row r="175">
      <c r="A175" t="inlineStr">
        <is>
          <t>SF-EVAP_BASE</t>
        </is>
      </c>
      <c r="B175" t="inlineStr">
        <is>
          <t>SOL_ARK_60K</t>
        </is>
      </c>
      <c r="C175" t="inlineStr">
        <is>
          <t>EVAP_BASE</t>
        </is>
      </c>
      <c r="D175" t="n">
        <v>1.328</v>
      </c>
      <c r="E175" t="inlineStr">
        <is>
          <t>kW</t>
        </is>
      </c>
      <c r="F175" t="inlineStr">
        <is>
          <t>study</t>
        </is>
      </c>
    </row>
    <row r="176">
      <c r="A176" t="inlineStr">
        <is>
          <t>SF-LEACH_CSTR_1</t>
        </is>
      </c>
      <c r="B176" t="inlineStr">
        <is>
          <t>SOL_ARK_60K</t>
        </is>
      </c>
      <c r="C176" t="inlineStr">
        <is>
          <t>LEACH_CSTR_1</t>
        </is>
      </c>
      <c r="D176" t="n">
        <v>0.75</v>
      </c>
      <c r="E176" t="inlineStr">
        <is>
          <t>kW</t>
        </is>
      </c>
      <c r="F176" t="inlineStr">
        <is>
          <t>study</t>
        </is>
      </c>
    </row>
    <row r="177">
      <c r="A177" t="inlineStr">
        <is>
          <t>SQ-EVAP_ACID</t>
        </is>
      </c>
      <c r="B177" t="inlineStr">
        <is>
          <t>EVAP_ACID</t>
        </is>
      </c>
      <c r="C177" t="inlineStr">
        <is>
          <t>HEAT_SINK</t>
        </is>
      </c>
      <c r="D177" t="n">
        <v>1.498</v>
      </c>
      <c r="E177" t="inlineStr">
        <is>
          <t>kW</t>
        </is>
      </c>
      <c r="F177" t="inlineStr">
        <is>
          <t>study</t>
        </is>
      </c>
    </row>
    <row r="178">
      <c r="A178" t="inlineStr">
        <is>
          <t>SQ-EVAP_ACID_VS</t>
        </is>
      </c>
      <c r="B178" t="inlineStr">
        <is>
          <t>EVAP_ACID_VS</t>
        </is>
      </c>
      <c r="C178" t="inlineStr">
        <is>
          <t>HEAT_SINK</t>
        </is>
      </c>
      <c r="D178" t="n">
        <v>0.0238</v>
      </c>
      <c r="E178" t="inlineStr">
        <is>
          <t>kW</t>
        </is>
      </c>
      <c r="F178" t="inlineStr">
        <is>
          <t>study</t>
        </is>
      </c>
    </row>
    <row r="179">
      <c r="A179" t="inlineStr">
        <is>
          <t>SQ-EVAP_BASE</t>
        </is>
      </c>
      <c r="B179" t="inlineStr">
        <is>
          <t>EVAP_BASE</t>
        </is>
      </c>
      <c r="C179" t="inlineStr">
        <is>
          <t>HEAT_SINK</t>
        </is>
      </c>
      <c r="D179" t="n">
        <v>1.328</v>
      </c>
      <c r="E179" t="inlineStr">
        <is>
          <t>kW</t>
        </is>
      </c>
      <c r="F179" t="inlineStr">
        <is>
          <t>study</t>
        </is>
      </c>
    </row>
    <row r="180">
      <c r="A180" t="inlineStr">
        <is>
          <t>TFE_HCL_TO_CRU</t>
        </is>
      </c>
      <c r="B180" t="inlineStr">
        <is>
          <t>TFE_SYN</t>
        </is>
      </c>
      <c r="C180" t="inlineStr">
        <is>
          <t>CRU</t>
        </is>
      </c>
      <c r="D180" t="n">
        <v>0.327654</v>
      </c>
      <c r="E180" t="inlineStr">
        <is>
          <t>kg/d</t>
        </is>
      </c>
      <c r="F180" t="inlineStr">
        <is>
          <t>study</t>
        </is>
      </c>
    </row>
    <row r="181">
      <c r="A181" t="inlineStr">
        <is>
          <t>TI_CELL_CL2_TO_CRU</t>
        </is>
      </c>
      <c r="B181" t="inlineStr">
        <is>
          <t>TI_CELL</t>
        </is>
      </c>
      <c r="C181" t="inlineStr">
        <is>
          <t>CRU</t>
        </is>
      </c>
      <c r="D181" t="n">
        <v>0</v>
      </c>
      <c r="E181" t="inlineStr">
        <is>
          <t>kg/d</t>
        </is>
      </c>
      <c r="F181" t="inlineStr">
        <is>
          <t>study</t>
        </is>
      </c>
    </row>
    <row r="182">
      <c r="A182" t="inlineStr">
        <is>
          <t>TI_CELL_SLAG_RETURN</t>
        </is>
      </c>
      <c r="B182" t="inlineStr">
        <is>
          <t>TI_CELL</t>
        </is>
      </c>
      <c r="C182" t="inlineStr">
        <is>
          <t>LEACH_CSTR_1</t>
        </is>
      </c>
      <c r="D182" t="n">
        <v>0</v>
      </c>
      <c r="E182" t="inlineStr">
        <is>
          <t>kg/d</t>
        </is>
      </c>
      <c r="F182" t="inlineStr">
        <is>
          <t>study</t>
        </is>
      </c>
    </row>
    <row r="183">
      <c r="A183" t="inlineStr">
        <is>
          <t>VDF_HCL_TO_CRU</t>
        </is>
      </c>
      <c r="B183" t="inlineStr">
        <is>
          <t>VDF_SYN</t>
        </is>
      </c>
      <c r="C183" t="inlineStr">
        <is>
          <t>CRU</t>
        </is>
      </c>
      <c r="D183" t="n">
        <v>0.42605</v>
      </c>
      <c r="E183" t="inlineStr">
        <is>
          <t>kg/d</t>
        </is>
      </c>
      <c r="F183" t="inlineStr">
        <is>
          <t>study</t>
        </is>
      </c>
    </row>
  </sheetData>
  <autoFilter ref="A1:H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8" customWidth="1" min="3" max="3"/>
    <col width="10" customWidth="1" min="4" max="4"/>
    <col width="12" customWidth="1" min="5" max="5"/>
    <col width="16" customWidth="1" min="6" max="6"/>
    <col width="9" customWidth="1" min="7" max="7"/>
    <col width="13" customWidth="1" min="8" max="8"/>
  </cols>
  <sheetData>
    <row r="1">
      <c r="A1" s="3" t="inlineStr">
        <is>
          <t>unit_id</t>
        </is>
      </c>
      <c r="B1" s="3" t="inlineStr">
        <is>
          <t>continuous_kw</t>
        </is>
      </c>
      <c r="C1" s="3" t="inlineStr">
        <is>
          <t>kw_unit</t>
        </is>
      </c>
      <c r="D1" s="3" t="inlineStr">
        <is>
          <t>kw_status</t>
        </is>
      </c>
      <c r="E1" s="3" t="inlineStr">
        <is>
          <t>presence</t>
        </is>
      </c>
      <c r="F1" s="3" t="inlineStr">
        <is>
          <t>class</t>
        </is>
      </c>
      <c r="G1" s="3" t="inlineStr">
        <is>
          <t>enabled</t>
        </is>
      </c>
      <c r="H1" s="3" t="inlineStr">
        <is>
          <t>graph_sector</t>
        </is>
      </c>
    </row>
    <row r="2">
      <c r="A2" t="inlineStr">
        <is>
          <t>AFTERBURNER</t>
        </is>
      </c>
      <c r="B2" s="8" t="n">
        <v>0.1332</v>
      </c>
      <c r="C2" t="inlineStr">
        <is>
          <t>kW</t>
        </is>
      </c>
      <c r="D2" t="inlineStr">
        <is>
          <t>study</t>
        </is>
      </c>
      <c r="E2" t="inlineStr">
        <is>
          <t>present</t>
        </is>
      </c>
      <c r="F2" t="inlineStr">
        <is>
          <t>thermal</t>
        </is>
      </c>
      <c r="G2" t="b">
        <v>1</v>
      </c>
      <c r="H2" t="inlineStr">
        <is>
          <t>OIL</t>
        </is>
      </c>
    </row>
    <row r="3">
      <c r="A3" t="inlineStr">
        <is>
          <t>C29_RECYCLE</t>
        </is>
      </c>
      <c r="E3" t="inlineStr">
        <is>
          <t>present</t>
        </is>
      </c>
      <c r="F3" t="inlineStr">
        <is>
          <t>recycle_pipe</t>
        </is>
      </c>
      <c r="G3" t="b">
        <v>1</v>
      </c>
      <c r="H3" t="inlineStr">
        <is>
          <t>OIL</t>
        </is>
      </c>
    </row>
    <row r="4">
      <c r="A4" t="inlineStr">
        <is>
          <t>GREASE_CA</t>
        </is>
      </c>
      <c r="E4" t="inlineStr">
        <is>
          <t>present</t>
        </is>
      </c>
      <c r="F4" t="inlineStr">
        <is>
          <t>kettle</t>
        </is>
      </c>
      <c r="G4" t="b">
        <v>1</v>
      </c>
      <c r="H4" t="inlineStr">
        <is>
          <t>OIL</t>
        </is>
      </c>
    </row>
    <row r="5">
      <c r="A5" t="inlineStr">
        <is>
          <t>GREASE_LI</t>
        </is>
      </c>
      <c r="E5" t="inlineStr">
        <is>
          <t>present</t>
        </is>
      </c>
      <c r="F5" t="inlineStr">
        <is>
          <t>kettle</t>
        </is>
      </c>
      <c r="G5" t="b">
        <v>1</v>
      </c>
      <c r="H5" t="inlineStr">
        <is>
          <t>OIL</t>
        </is>
      </c>
    </row>
    <row r="6">
      <c r="A6" t="inlineStr">
        <is>
          <t>HOPPER</t>
        </is>
      </c>
      <c r="E6" t="inlineStr">
        <is>
          <t>present</t>
        </is>
      </c>
      <c r="F6" t="inlineStr">
        <is>
          <t>hopper</t>
        </is>
      </c>
      <c r="G6" t="b">
        <v>1</v>
      </c>
      <c r="H6" t="inlineStr">
        <is>
          <t>OIL</t>
        </is>
      </c>
    </row>
    <row r="7">
      <c r="A7" t="inlineStr">
        <is>
          <t>NCG_HEADER</t>
        </is>
      </c>
      <c r="E7" t="inlineStr">
        <is>
          <t>present</t>
        </is>
      </c>
      <c r="F7" t="inlineStr">
        <is>
          <t>header</t>
        </is>
      </c>
      <c r="G7" t="b">
        <v>1</v>
      </c>
      <c r="H7" t="inlineStr">
        <is>
          <t>OIL</t>
        </is>
      </c>
    </row>
    <row r="8">
      <c r="A8" t="inlineStr">
        <is>
          <t>OIL_DRYER</t>
        </is>
      </c>
      <c r="E8" t="inlineStr">
        <is>
          <t>present</t>
        </is>
      </c>
      <c r="F8" t="inlineStr">
        <is>
          <t>dryer</t>
        </is>
      </c>
      <c r="G8" t="b">
        <v>1</v>
      </c>
      <c r="H8" t="inlineStr">
        <is>
          <t>OIL</t>
        </is>
      </c>
    </row>
    <row r="9">
      <c r="A9" t="inlineStr">
        <is>
          <t>OIL_FRAC</t>
        </is>
      </c>
      <c r="E9" t="inlineStr">
        <is>
          <t>present</t>
        </is>
      </c>
      <c r="F9" t="inlineStr">
        <is>
          <t>frac</t>
        </is>
      </c>
      <c r="G9" t="b">
        <v>1</v>
      </c>
      <c r="H9" t="inlineStr">
        <is>
          <t>OIL</t>
        </is>
      </c>
    </row>
    <row r="10">
      <c r="A10" t="inlineStr">
        <is>
          <t>OIL_PYRO</t>
        </is>
      </c>
      <c r="B10" s="8" t="n">
        <v>1.664</v>
      </c>
      <c r="C10" t="inlineStr">
        <is>
          <t>kW</t>
        </is>
      </c>
      <c r="D10" t="inlineStr">
        <is>
          <t>study</t>
        </is>
      </c>
      <c r="E10" t="inlineStr">
        <is>
          <t>present</t>
        </is>
      </c>
      <c r="F10" t="inlineStr">
        <is>
          <t>pyro</t>
        </is>
      </c>
      <c r="G10" t="b">
        <v>1</v>
      </c>
      <c r="H10" t="inlineStr">
        <is>
          <t>OIL</t>
        </is>
      </c>
    </row>
    <row r="11">
      <c r="A11" t="inlineStr">
        <is>
          <t>PROD_C11_C18</t>
        </is>
      </c>
      <c r="E11" t="inlineStr">
        <is>
          <t>present</t>
        </is>
      </c>
      <c r="F11" t="inlineStr">
        <is>
          <t>cut_tank</t>
        </is>
      </c>
      <c r="G11" t="b">
        <v>1</v>
      </c>
      <c r="H11" t="inlineStr">
        <is>
          <t>OIL</t>
        </is>
      </c>
    </row>
    <row r="12">
      <c r="A12" t="inlineStr">
        <is>
          <t>PROD_C19_C28</t>
        </is>
      </c>
      <c r="E12" t="inlineStr">
        <is>
          <t>present</t>
        </is>
      </c>
      <c r="F12" t="inlineStr">
        <is>
          <t>cut_tank</t>
        </is>
      </c>
      <c r="G12" t="b">
        <v>1</v>
      </c>
      <c r="H12" t="inlineStr">
        <is>
          <t>OIL</t>
        </is>
      </c>
    </row>
    <row r="13">
      <c r="A13" t="inlineStr">
        <is>
          <t>PROD_C29</t>
        </is>
      </c>
      <c r="E13" t="inlineStr">
        <is>
          <t>present</t>
        </is>
      </c>
      <c r="F13" t="inlineStr">
        <is>
          <t>cut_tank</t>
        </is>
      </c>
      <c r="G13" t="b">
        <v>1</v>
      </c>
      <c r="H13" t="inlineStr">
        <is>
          <t>OIL</t>
        </is>
      </c>
    </row>
    <row r="14">
      <c r="A14" t="inlineStr">
        <is>
          <t>PROD_C5_C10</t>
        </is>
      </c>
      <c r="E14" t="inlineStr">
        <is>
          <t>present</t>
        </is>
      </c>
      <c r="F14" t="inlineStr">
        <is>
          <t>cut_tank</t>
        </is>
      </c>
      <c r="G14" t="b">
        <v>1</v>
      </c>
      <c r="H14" t="inlineStr">
        <is>
          <t>OIL</t>
        </is>
      </c>
    </row>
    <row r="16">
      <c r="A16" s="1" t="inlineStr">
        <is>
          <t>SUBTOTAL continuous kW (SUM)</t>
        </is>
      </c>
      <c r="B16" s="10">
        <f>SUM(B2:B14)</f>
        <v/>
      </c>
    </row>
    <row r="18">
      <c r="A18" s="9" t="inlineStr">
        <is>
          <t>EDGES TOUCHING THIS SECTOR (from or to)</t>
        </is>
      </c>
    </row>
    <row r="19">
      <c r="A19" s="3" t="inlineStr">
        <is>
          <t>stream_id</t>
        </is>
      </c>
      <c r="B19" s="3" t="inlineStr">
        <is>
          <t>from_unit</t>
        </is>
      </c>
      <c r="C19" s="3" t="inlineStr">
        <is>
          <t>to_unit</t>
        </is>
      </c>
      <c r="D19" s="3" t="inlineStr">
        <is>
          <t>rate</t>
        </is>
      </c>
      <c r="E19" s="3" t="inlineStr">
        <is>
          <t>unit</t>
        </is>
      </c>
      <c r="F19" s="3" t="inlineStr">
        <is>
          <t>status</t>
        </is>
      </c>
    </row>
    <row r="20">
      <c r="A20" t="inlineStr">
        <is>
          <t>C29_RECYCLE</t>
        </is>
      </c>
      <c r="B20" t="inlineStr">
        <is>
          <t>PROD_C29</t>
        </is>
      </c>
      <c r="C20" t="inlineStr">
        <is>
          <t>C29_RECYCLE</t>
        </is>
      </c>
      <c r="D20" t="n">
        <v>5.873266</v>
      </c>
      <c r="E20" t="inlineStr">
        <is>
          <t>kg/d</t>
        </is>
      </c>
      <c r="F20" t="inlineStr">
        <is>
          <t>study</t>
        </is>
      </c>
    </row>
    <row r="21">
      <c r="A21" t="inlineStr">
        <is>
          <t>C29_TO_PYRO</t>
        </is>
      </c>
      <c r="B21" t="inlineStr">
        <is>
          <t>C29_RECYCLE</t>
        </is>
      </c>
      <c r="C21" t="inlineStr">
        <is>
          <t>OIL_PYRO</t>
        </is>
      </c>
      <c r="D21" t="n">
        <v>5.873266</v>
      </c>
      <c r="E21" t="inlineStr">
        <is>
          <t>kg/d</t>
        </is>
      </c>
      <c r="F21" t="inlineStr">
        <is>
          <t>study</t>
        </is>
      </c>
    </row>
    <row r="22">
      <c r="A22" t="inlineStr">
        <is>
          <t>CHAR_TO_SI</t>
        </is>
      </c>
      <c r="B22" t="inlineStr">
        <is>
          <t>OIL_PYRO</t>
        </is>
      </c>
      <c r="C22" t="inlineStr">
        <is>
          <t>SI_REDUCE</t>
        </is>
      </c>
      <c r="F22" t="inlineStr">
        <is>
          <t>null</t>
        </is>
      </c>
    </row>
    <row r="23">
      <c r="A23" t="inlineStr">
        <is>
          <t>CUT-1</t>
        </is>
      </c>
      <c r="B23" t="inlineStr">
        <is>
          <t>OIL_FRAC</t>
        </is>
      </c>
      <c r="C23" t="inlineStr">
        <is>
          <t>PROD_C5_C10</t>
        </is>
      </c>
      <c r="D23" t="n">
        <v>7.424773</v>
      </c>
      <c r="E23" t="inlineStr">
        <is>
          <t>kg/d</t>
        </is>
      </c>
      <c r="F23" t="inlineStr">
        <is>
          <t>study</t>
        </is>
      </c>
    </row>
    <row r="24">
      <c r="A24" t="inlineStr">
        <is>
          <t>CUT-1-OUT</t>
        </is>
      </c>
      <c r="B24" t="inlineStr">
        <is>
          <t>PROD_C5_C10</t>
        </is>
      </c>
      <c r="C24" t="inlineStr">
        <is>
          <t>BACKUP_GEN</t>
        </is>
      </c>
      <c r="D24" t="n">
        <v>0.053896</v>
      </c>
      <c r="E24" t="inlineStr">
        <is>
          <t>kg/d</t>
        </is>
      </c>
      <c r="F24" t="inlineStr">
        <is>
          <t>study</t>
        </is>
      </c>
    </row>
    <row r="25">
      <c r="A25" t="inlineStr">
        <is>
          <t>CUT-2</t>
        </is>
      </c>
      <c r="B25" t="inlineStr">
        <is>
          <t>OIL_FRAC</t>
        </is>
      </c>
      <c r="C25" t="inlineStr">
        <is>
          <t>PROD_C11_C18</t>
        </is>
      </c>
      <c r="D25" t="n">
        <v>9.918820999999999</v>
      </c>
      <c r="E25" t="inlineStr">
        <is>
          <t>kg/d</t>
        </is>
      </c>
      <c r="F25" t="inlineStr">
        <is>
          <t>study</t>
        </is>
      </c>
    </row>
    <row r="26">
      <c r="A26" t="inlineStr">
        <is>
          <t>CUT-3</t>
        </is>
      </c>
      <c r="B26" t="inlineStr">
        <is>
          <t>OIL_FRAC</t>
        </is>
      </c>
      <c r="C26" t="inlineStr">
        <is>
          <t>PROD_C19_C28</t>
        </is>
      </c>
      <c r="D26" t="n">
        <v>6.165705</v>
      </c>
      <c r="E26" t="inlineStr">
        <is>
          <t>kg/d</t>
        </is>
      </c>
      <c r="F26" t="inlineStr">
        <is>
          <t>study</t>
        </is>
      </c>
    </row>
    <row r="27">
      <c r="A27" t="inlineStr">
        <is>
          <t>CUT-3-OUT</t>
        </is>
      </c>
      <c r="B27" t="inlineStr">
        <is>
          <t>PROD_C19_C28</t>
        </is>
      </c>
      <c r="C27" t="inlineStr">
        <is>
          <t>MFG_SHOP</t>
        </is>
      </c>
      <c r="D27" t="n">
        <v>3.947559</v>
      </c>
      <c r="E27" t="inlineStr">
        <is>
          <t>kg/d</t>
        </is>
      </c>
      <c r="F27" t="inlineStr">
        <is>
          <t>study</t>
        </is>
      </c>
    </row>
    <row r="28">
      <c r="A28" t="inlineStr">
        <is>
          <t>CUT-4</t>
        </is>
      </c>
      <c r="B28" t="inlineStr">
        <is>
          <t>OIL_FRAC</t>
        </is>
      </c>
      <c r="C28" t="inlineStr">
        <is>
          <t>PROD_C29</t>
        </is>
      </c>
      <c r="D28" t="n">
        <v>5.873266</v>
      </c>
      <c r="E28" t="inlineStr">
        <is>
          <t>kg/d</t>
        </is>
      </c>
      <c r="F28" t="inlineStr">
        <is>
          <t>study</t>
        </is>
      </c>
    </row>
    <row r="29">
      <c r="A29" t="inlineStr">
        <is>
          <t>GREASE_CA_TO_MFG</t>
        </is>
      </c>
      <c r="B29" t="inlineStr">
        <is>
          <t>GREASE_CA</t>
        </is>
      </c>
      <c r="C29" t="inlineStr">
        <is>
          <t>MFG_SHOP</t>
        </is>
      </c>
      <c r="F29" t="inlineStr">
        <is>
          <t>null</t>
        </is>
      </c>
    </row>
    <row r="30">
      <c r="A30" t="inlineStr">
        <is>
          <t>GREASE_LI_TO_MFG</t>
        </is>
      </c>
      <c r="B30" t="inlineStr">
        <is>
          <t>GREASE_LI</t>
        </is>
      </c>
      <c r="C30" t="inlineStr">
        <is>
          <t>MFG_SHOP</t>
        </is>
      </c>
      <c r="F30" t="inlineStr">
        <is>
          <t>null</t>
        </is>
      </c>
    </row>
    <row r="31">
      <c r="A31" t="inlineStr">
        <is>
          <t>HL-AFTERBURNER-Q1-A</t>
        </is>
      </c>
      <c r="B31" t="inlineStr">
        <is>
          <t>AFTERBURNER</t>
        </is>
      </c>
      <c r="C31" t="inlineStr">
        <is>
          <t>Q1_A</t>
        </is>
      </c>
      <c r="D31" t="n">
        <v>1.383</v>
      </c>
      <c r="E31" t="inlineStr">
        <is>
          <t>kW</t>
        </is>
      </c>
      <c r="F31" t="inlineStr">
        <is>
          <t>study</t>
        </is>
      </c>
    </row>
    <row r="32">
      <c r="A32" t="inlineStr">
        <is>
          <t>HL-AFTERBURNER-Q1-B</t>
        </is>
      </c>
      <c r="B32" t="inlineStr">
        <is>
          <t>AFTERBURNER</t>
        </is>
      </c>
      <c r="C32" t="inlineStr">
        <is>
          <t>Q1_B</t>
        </is>
      </c>
      <c r="D32" t="n">
        <v>1.383</v>
      </c>
      <c r="E32" t="inlineStr">
        <is>
          <t>kW</t>
        </is>
      </c>
      <c r="F32" t="inlineStr">
        <is>
          <t>study</t>
        </is>
      </c>
    </row>
    <row r="33">
      <c r="A33" t="inlineStr">
        <is>
          <t>HL-Q3-A-HX4</t>
        </is>
      </c>
      <c r="B33" t="inlineStr">
        <is>
          <t>Q3_A</t>
        </is>
      </c>
      <c r="C33" t="inlineStr">
        <is>
          <t>OIL_DRYER</t>
        </is>
      </c>
      <c r="D33" t="n">
        <v>0.0553</v>
      </c>
      <c r="E33" t="inlineStr">
        <is>
          <t>kW</t>
        </is>
      </c>
      <c r="F33" t="inlineStr">
        <is>
          <t>study</t>
        </is>
      </c>
    </row>
    <row r="34">
      <c r="A34" t="inlineStr">
        <is>
          <t>HL-Q3-B-HX4</t>
        </is>
      </c>
      <c r="B34" t="inlineStr">
        <is>
          <t>Q3_B</t>
        </is>
      </c>
      <c r="C34" t="inlineStr">
        <is>
          <t>OIL_DRYER</t>
        </is>
      </c>
      <c r="D34" t="n">
        <v>0.0553</v>
      </c>
      <c r="E34" t="inlineStr">
        <is>
          <t>kW</t>
        </is>
      </c>
      <c r="F34" t="inlineStr">
        <is>
          <t>study</t>
        </is>
      </c>
    </row>
    <row r="35">
      <c r="A35" t="inlineStr">
        <is>
          <t>IA-AB-FLUE</t>
        </is>
      </c>
      <c r="B35" t="inlineStr">
        <is>
          <t>AFTERBURNER</t>
        </is>
      </c>
      <c r="C35" t="inlineStr">
        <is>
          <t>AFTERBURNER_FLUE</t>
        </is>
      </c>
      <c r="D35" t="n">
        <v>7.096878</v>
      </c>
      <c r="E35" t="inlineStr">
        <is>
          <t>kg/d</t>
        </is>
      </c>
      <c r="F35" t="inlineStr">
        <is>
          <t>study</t>
        </is>
      </c>
    </row>
    <row r="36">
      <c r="A36" t="inlineStr">
        <is>
          <t>IA-AB-O2</t>
        </is>
      </c>
      <c r="B36" t="inlineStr">
        <is>
          <t>HDR_O2</t>
        </is>
      </c>
      <c r="C36" t="inlineStr">
        <is>
          <t>AFTERBURNER</t>
        </is>
      </c>
      <c r="D36" t="n">
        <v>0.528278</v>
      </c>
      <c r="E36" t="inlineStr">
        <is>
          <t>kg/d</t>
        </is>
      </c>
      <c r="F36" t="inlineStr">
        <is>
          <t>study</t>
        </is>
      </c>
    </row>
    <row r="37">
      <c r="A37" t="inlineStr">
        <is>
          <t>IA-BLK-CAKE</t>
        </is>
      </c>
      <c r="B37" t="inlineStr">
        <is>
          <t>BLACK_DIGEST</t>
        </is>
      </c>
      <c r="C37" t="inlineStr">
        <is>
          <t>AFTERBURNER</t>
        </is>
      </c>
      <c r="D37" t="n">
        <v>0.67</v>
      </c>
      <c r="E37" t="inlineStr">
        <is>
          <t>kg/d</t>
        </is>
      </c>
      <c r="F37" t="inlineStr">
        <is>
          <t>study</t>
        </is>
      </c>
    </row>
    <row r="38">
      <c r="A38" t="inlineStr">
        <is>
          <t>IA-BLK-GAS</t>
        </is>
      </c>
      <c r="B38" t="inlineStr">
        <is>
          <t>BLACK_DIGEST</t>
        </is>
      </c>
      <c r="C38" t="inlineStr">
        <is>
          <t>AFTERBURNER</t>
        </is>
      </c>
      <c r="D38" t="n">
        <v>0.09859999999999999</v>
      </c>
      <c r="E38" t="inlineStr">
        <is>
          <t>kg/d</t>
        </is>
      </c>
      <c r="F38" t="inlineStr">
        <is>
          <t>study</t>
        </is>
      </c>
    </row>
    <row r="39">
      <c r="A39" t="inlineStr">
        <is>
          <t>IA-BLOW-IN</t>
        </is>
      </c>
      <c r="B39" t="inlineStr">
        <is>
          <t>PROD_C11_C18</t>
        </is>
      </c>
      <c r="C39" t="inlineStr">
        <is>
          <t>BLOW_MOLD</t>
        </is>
      </c>
      <c r="D39" t="n">
        <v>8.407159</v>
      </c>
      <c r="E39" t="inlineStr">
        <is>
          <t>kg/d</t>
        </is>
      </c>
      <c r="F39" t="inlineStr">
        <is>
          <t>study</t>
        </is>
      </c>
    </row>
    <row r="40">
      <c r="A40" t="inlineStr">
        <is>
          <t>IA-C11-SHIP</t>
        </is>
      </c>
      <c r="B40" t="inlineStr">
        <is>
          <t>PROD_C11_C18</t>
        </is>
      </c>
      <c r="C40" t="inlineStr">
        <is>
          <t>NORTH_DOCK</t>
        </is>
      </c>
      <c r="D40" t="n">
        <v>1.511662</v>
      </c>
      <c r="E40" t="inlineStr">
        <is>
          <t>kg/d</t>
        </is>
      </c>
      <c r="F40" t="inlineStr">
        <is>
          <t>study</t>
        </is>
      </c>
    </row>
    <row r="41">
      <c r="A41" t="inlineStr">
        <is>
          <t>IA-C19-SHIP</t>
        </is>
      </c>
      <c r="B41" t="inlineStr">
        <is>
          <t>PROD_C19_C28</t>
        </is>
      </c>
      <c r="C41" t="inlineStr">
        <is>
          <t>NORTH_DOCK</t>
        </is>
      </c>
      <c r="D41" t="n">
        <v>2.218146</v>
      </c>
      <c r="E41" t="inlineStr">
        <is>
          <t>kg/d</t>
        </is>
      </c>
      <c r="F41" t="inlineStr">
        <is>
          <t>study</t>
        </is>
      </c>
    </row>
    <row r="42">
      <c r="A42" t="inlineStr">
        <is>
          <t>IA-C5-POLY</t>
        </is>
      </c>
      <c r="B42" t="inlineStr">
        <is>
          <t>PROD_C5_C10</t>
        </is>
      </c>
      <c r="C42" t="inlineStr">
        <is>
          <t>POLY_OLEFIN</t>
        </is>
      </c>
      <c r="D42" t="n">
        <v>0.294127</v>
      </c>
      <c r="E42" t="inlineStr">
        <is>
          <t>kg/d</t>
        </is>
      </c>
      <c r="F42" t="inlineStr">
        <is>
          <t>study</t>
        </is>
      </c>
    </row>
    <row r="43">
      <c r="A43" t="inlineStr">
        <is>
          <t>IA-C5-SHIP</t>
        </is>
      </c>
      <c r="B43" t="inlineStr">
        <is>
          <t>PROD_C5_C10</t>
        </is>
      </c>
      <c r="C43" t="inlineStr">
        <is>
          <t>NORTH_DOCK</t>
        </is>
      </c>
      <c r="D43" t="n">
        <v>7.07675</v>
      </c>
      <c r="E43" t="inlineStr">
        <is>
          <t>kg/d</t>
        </is>
      </c>
      <c r="F43" t="inlineStr">
        <is>
          <t>study</t>
        </is>
      </c>
    </row>
    <row r="44">
      <c r="A44" t="inlineStr">
        <is>
          <t>IA-CHAR</t>
        </is>
      </c>
      <c r="B44" t="inlineStr">
        <is>
          <t>OIL_PYRO</t>
        </is>
      </c>
      <c r="C44" t="inlineStr">
        <is>
          <t>MFG_SHOP</t>
        </is>
      </c>
      <c r="D44" t="n">
        <v>5.5</v>
      </c>
      <c r="E44" t="inlineStr">
        <is>
          <t>kg/d</t>
        </is>
      </c>
      <c r="F44" t="inlineStr">
        <is>
          <t>study</t>
        </is>
      </c>
    </row>
    <row r="45">
      <c r="A45" t="inlineStr">
        <is>
          <t>IA-FEED-01</t>
        </is>
      </c>
      <c r="B45" t="inlineStr">
        <is>
          <t>HOPPER</t>
        </is>
      </c>
      <c r="C45" t="inlineStr">
        <is>
          <t>LEACH_CSTR_1</t>
        </is>
      </c>
      <c r="D45" t="n">
        <v>102.680001</v>
      </c>
      <c r="E45" t="inlineStr">
        <is>
          <t>kg/d</t>
        </is>
      </c>
      <c r="F45" t="inlineStr">
        <is>
          <t>study</t>
        </is>
      </c>
    </row>
    <row r="46">
      <c r="A46" t="inlineStr">
        <is>
          <t>IA-HOP-01</t>
        </is>
      </c>
      <c r="B46" t="inlineStr">
        <is>
          <t>HOPPER</t>
        </is>
      </c>
      <c r="C46" t="inlineStr">
        <is>
          <t>LEACH_CSTR_1</t>
        </is>
      </c>
      <c r="D46" t="n">
        <v>530.73594</v>
      </c>
      <c r="E46" t="inlineStr">
        <is>
          <t>kg/d</t>
        </is>
      </c>
      <c r="F46" t="inlineStr">
        <is>
          <t>study</t>
        </is>
      </c>
    </row>
    <row r="47">
      <c r="A47" t="inlineStr">
        <is>
          <t>IA-LEACH-HOP</t>
        </is>
      </c>
      <c r="B47" t="inlineStr">
        <is>
          <t>LEACH_CSTR_1</t>
        </is>
      </c>
      <c r="C47" t="inlineStr">
        <is>
          <t>HOPPER</t>
        </is>
      </c>
      <c r="D47" t="n">
        <v>35.355</v>
      </c>
      <c r="E47" t="inlineStr">
        <is>
          <t>kg/d</t>
        </is>
      </c>
      <c r="F47" t="inlineStr">
        <is>
          <t>study</t>
        </is>
      </c>
    </row>
    <row r="48">
      <c r="A48" t="inlineStr">
        <is>
          <t>IA-LITHO-OUT</t>
        </is>
      </c>
      <c r="B48" t="inlineStr">
        <is>
          <t>LITHO_DEV</t>
        </is>
      </c>
      <c r="C48" t="inlineStr">
        <is>
          <t>OIL_FRAC</t>
        </is>
      </c>
      <c r="D48" t="n">
        <v>0.987499</v>
      </c>
      <c r="E48" t="inlineStr">
        <is>
          <t>kg/d</t>
        </is>
      </c>
      <c r="F48" t="inlineStr">
        <is>
          <t>study</t>
        </is>
      </c>
    </row>
    <row r="49">
      <c r="A49" t="inlineStr">
        <is>
          <t>IA-OIL-01</t>
        </is>
      </c>
      <c r="B49" t="inlineStr">
        <is>
          <t>OIL_DRYER</t>
        </is>
      </c>
      <c r="C49" t="inlineStr">
        <is>
          <t>OIL_PYRO</t>
        </is>
      </c>
      <c r="D49" t="n">
        <v>33</v>
      </c>
      <c r="E49" t="inlineStr">
        <is>
          <t>kg/d</t>
        </is>
      </c>
      <c r="F49" t="inlineStr">
        <is>
          <t>study</t>
        </is>
      </c>
    </row>
    <row r="50">
      <c r="A50" t="inlineStr">
        <is>
          <t>IA-OIL-02</t>
        </is>
      </c>
      <c r="B50" t="inlineStr">
        <is>
          <t>OIL_PYRO</t>
        </is>
      </c>
      <c r="C50" t="inlineStr">
        <is>
          <t>OIL_FRAC</t>
        </is>
      </c>
      <c r="D50" t="n">
        <v>33.373266</v>
      </c>
      <c r="E50" t="inlineStr">
        <is>
          <t>kg/d</t>
        </is>
      </c>
      <c r="F50" t="inlineStr">
        <is>
          <t>study</t>
        </is>
      </c>
    </row>
    <row r="51">
      <c r="A51" t="inlineStr">
        <is>
          <t>IA-OIL-03</t>
        </is>
      </c>
      <c r="B51" t="inlineStr">
        <is>
          <t>OIL_FRAC</t>
        </is>
      </c>
      <c r="C51" t="inlineStr">
        <is>
          <t>NCG_HEADER</t>
        </is>
      </c>
      <c r="D51" t="n">
        <v>5</v>
      </c>
      <c r="E51" t="inlineStr">
        <is>
          <t>kg/d</t>
        </is>
      </c>
      <c r="F51" t="inlineStr">
        <is>
          <t>study</t>
        </is>
      </c>
    </row>
    <row r="52">
      <c r="A52" t="inlineStr">
        <is>
          <t>IA-PLAST-01</t>
        </is>
      </c>
      <c r="B52" t="inlineStr">
        <is>
          <t>FLOAT_SINK</t>
        </is>
      </c>
      <c r="C52" t="inlineStr">
        <is>
          <t>OIL_DRYER</t>
        </is>
      </c>
      <c r="D52" t="n">
        <v>33</v>
      </c>
      <c r="E52" t="inlineStr">
        <is>
          <t>kg/d</t>
        </is>
      </c>
      <c r="F52" t="inlineStr">
        <is>
          <t>study</t>
        </is>
      </c>
    </row>
    <row r="53">
      <c r="A53" t="inlineStr">
        <is>
          <t>IA-WEAR</t>
        </is>
      </c>
      <c r="B53" t="inlineStr">
        <is>
          <t>HABITATION</t>
        </is>
      </c>
      <c r="C53" t="inlineStr">
        <is>
          <t>HOPPER</t>
        </is>
      </c>
      <c r="D53" t="n">
        <v>596.863842</v>
      </c>
      <c r="E53" t="inlineStr">
        <is>
          <t>kg/d</t>
        </is>
      </c>
      <c r="F53" t="inlineStr">
        <is>
          <t>study</t>
        </is>
      </c>
    </row>
    <row r="54">
      <c r="A54" t="inlineStr">
        <is>
          <t>LI_TO_GREASE</t>
        </is>
      </c>
      <c r="B54" t="inlineStr">
        <is>
          <t>LI_RECOVER</t>
        </is>
      </c>
      <c r="C54" t="inlineStr">
        <is>
          <t>GREASE_LI</t>
        </is>
      </c>
      <c r="F54" t="inlineStr">
        <is>
          <t>null</t>
        </is>
      </c>
    </row>
    <row r="55">
      <c r="A55" t="inlineStr">
        <is>
          <t>NCG_TO_AB</t>
        </is>
      </c>
      <c r="B55" t="inlineStr">
        <is>
          <t>NCG_HEADER</t>
        </is>
      </c>
      <c r="C55" t="inlineStr">
        <is>
          <t>AFTERBURNER</t>
        </is>
      </c>
      <c r="D55" t="n">
        <v>5</v>
      </c>
      <c r="E55" t="inlineStr">
        <is>
          <t>kg/d</t>
        </is>
      </c>
      <c r="F55" t="inlineStr">
        <is>
          <t>study</t>
        </is>
      </c>
    </row>
    <row r="56">
      <c r="A56" t="inlineStr">
        <is>
          <t>OIL_TO_OLEFIN</t>
        </is>
      </c>
      <c r="B56" t="inlineStr">
        <is>
          <t>OIL_FRAC</t>
        </is>
      </c>
      <c r="C56" t="inlineStr">
        <is>
          <t>POLY_OLEFIN</t>
        </is>
      </c>
      <c r="D56" t="n">
        <v>0</v>
      </c>
      <c r="E56" t="inlineStr">
        <is>
          <t>kg/d</t>
        </is>
      </c>
      <c r="F56" t="inlineStr">
        <is>
          <t>study</t>
        </is>
      </c>
    </row>
    <row r="57">
      <c r="A57" t="inlineStr">
        <is>
          <t>PCA_TO_GREASE</t>
        </is>
      </c>
      <c r="B57" t="inlineStr">
        <is>
          <t>P_CA</t>
        </is>
      </c>
      <c r="C57" t="inlineStr">
        <is>
          <t>GREASE_CA</t>
        </is>
      </c>
      <c r="F57" t="inlineStr">
        <is>
          <t>null</t>
        </is>
      </c>
    </row>
    <row r="58">
      <c r="A58" t="inlineStr">
        <is>
          <t>S11</t>
        </is>
      </c>
      <c r="B58" t="inlineStr">
        <is>
          <t>GROW_BED</t>
        </is>
      </c>
      <c r="C58" t="inlineStr">
        <is>
          <t>AFTERBURNER</t>
        </is>
      </c>
      <c r="D58" t="n">
        <v>0.8</v>
      </c>
      <c r="E58" t="inlineStr">
        <is>
          <t>kg/d</t>
        </is>
      </c>
      <c r="F58" t="inlineStr">
        <is>
          <t>study</t>
        </is>
      </c>
    </row>
    <row r="59">
      <c r="A59" t="inlineStr">
        <is>
          <t>S18</t>
        </is>
      </c>
      <c r="B59" t="inlineStr">
        <is>
          <t>AFTERBURNER</t>
        </is>
      </c>
      <c r="C59" t="inlineStr">
        <is>
          <t>CRYO_CO2</t>
        </is>
      </c>
      <c r="D59" t="n">
        <v>0</v>
      </c>
      <c r="E59" t="inlineStr">
        <is>
          <t>kg/d</t>
        </is>
      </c>
      <c r="F59" t="inlineStr">
        <is>
          <t>study</t>
        </is>
      </c>
    </row>
    <row r="60">
      <c r="A60" t="inlineStr">
        <is>
          <t>S38</t>
        </is>
      </c>
      <c r="B60" t="inlineStr">
        <is>
          <t>WET_BENCH</t>
        </is>
      </c>
      <c r="C60" t="inlineStr">
        <is>
          <t>OIL_FRAC</t>
        </is>
      </c>
      <c r="D60" t="n">
        <v>0.006</v>
      </c>
      <c r="E60" t="inlineStr">
        <is>
          <t>kg/d</t>
        </is>
      </c>
      <c r="F60" t="inlineStr">
        <is>
          <t>study</t>
        </is>
      </c>
    </row>
    <row r="61">
      <c r="A61" t="inlineStr">
        <is>
          <t>S39B</t>
        </is>
      </c>
      <c r="B61" t="inlineStr">
        <is>
          <t>WAFER_FAB</t>
        </is>
      </c>
      <c r="C61" t="inlineStr">
        <is>
          <t>OIL_FRAC</t>
        </is>
      </c>
      <c r="D61" t="n">
        <v>0</v>
      </c>
      <c r="E61" t="inlineStr">
        <is>
          <t>kg/d</t>
        </is>
      </c>
      <c r="F61" t="inlineStr">
        <is>
          <t>study</t>
        </is>
      </c>
    </row>
    <row r="62">
      <c r="A62" t="inlineStr">
        <is>
          <t>S61</t>
        </is>
      </c>
      <c r="B62" t="inlineStr">
        <is>
          <t>MFG_SHOP</t>
        </is>
      </c>
      <c r="C62" t="inlineStr">
        <is>
          <t>HOPPER</t>
        </is>
      </c>
      <c r="D62" t="n">
        <v>1.197099</v>
      </c>
      <c r="E62" t="inlineStr">
        <is>
          <t>kg/d</t>
        </is>
      </c>
      <c r="F62" t="inlineStr">
        <is>
          <t>study</t>
        </is>
      </c>
    </row>
    <row r="63">
      <c r="A63" t="inlineStr">
        <is>
          <t>S72B</t>
        </is>
      </c>
      <c r="B63" t="inlineStr">
        <is>
          <t>MET_SCRUB</t>
        </is>
      </c>
      <c r="C63" t="inlineStr">
        <is>
          <t>OIL_FRAC</t>
        </is>
      </c>
      <c r="D63" t="n">
        <v>0.0158</v>
      </c>
      <c r="E63" t="inlineStr">
        <is>
          <t>kg/d</t>
        </is>
      </c>
      <c r="F63" t="inlineStr">
        <is>
          <t>study</t>
        </is>
      </c>
    </row>
    <row r="64">
      <c r="A64" t="inlineStr">
        <is>
          <t>SF-OIL_PYRO</t>
        </is>
      </c>
      <c r="B64" t="inlineStr">
        <is>
          <t>SOL_ARK_60K</t>
        </is>
      </c>
      <c r="C64" t="inlineStr">
        <is>
          <t>OIL_PYRO</t>
        </is>
      </c>
      <c r="D64" t="n">
        <v>1.664</v>
      </c>
      <c r="E64" t="inlineStr">
        <is>
          <t>kW</t>
        </is>
      </c>
      <c r="F64" t="inlineStr">
        <is>
          <t>study</t>
        </is>
      </c>
    </row>
    <row r="65">
      <c r="A65" t="inlineStr">
        <is>
          <t>WAX_TO_GREASE_CA</t>
        </is>
      </c>
      <c r="B65" t="inlineStr">
        <is>
          <t>PROD_C19_C28</t>
        </is>
      </c>
      <c r="C65" t="inlineStr">
        <is>
          <t>GREASE_CA</t>
        </is>
      </c>
      <c r="F65" t="inlineStr">
        <is>
          <t>null</t>
        </is>
      </c>
    </row>
    <row r="66">
      <c r="A66" t="inlineStr">
        <is>
          <t>WAX_TO_GREASE_LI</t>
        </is>
      </c>
      <c r="B66" t="inlineStr">
        <is>
          <t>PROD_C19_C28</t>
        </is>
      </c>
      <c r="C66" t="inlineStr">
        <is>
          <t>GREASE_LI</t>
        </is>
      </c>
      <c r="F66" t="inlineStr">
        <is>
          <t>null</t>
        </is>
      </c>
    </row>
    <row r="67">
      <c r="A67" t="inlineStr">
        <is>
          <t>WAX_TO_OIL</t>
        </is>
      </c>
      <c r="B67" t="inlineStr">
        <is>
          <t>SHELL_BURNOUT</t>
        </is>
      </c>
      <c r="C67" t="inlineStr">
        <is>
          <t>OIL_FRAC</t>
        </is>
      </c>
      <c r="D67" t="n">
        <v>0</v>
      </c>
      <c r="E67" t="inlineStr">
        <is>
          <t>kg/d</t>
        </is>
      </c>
      <c r="F67" t="inlineStr">
        <is>
          <t>study</t>
        </is>
      </c>
    </row>
  </sheetData>
  <autoFilter ref="A1:H1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8" customWidth="1" min="3" max="3"/>
    <col width="10" customWidth="1" min="4" max="4"/>
    <col width="12" customWidth="1" min="5" max="5"/>
    <col width="16" customWidth="1" min="6" max="6"/>
    <col width="9" customWidth="1" min="7" max="7"/>
    <col width="13" customWidth="1" min="8" max="8"/>
  </cols>
  <sheetData>
    <row r="1">
      <c r="A1" s="3" t="inlineStr">
        <is>
          <t>unit_id</t>
        </is>
      </c>
      <c r="B1" s="3" t="inlineStr">
        <is>
          <t>continuous_kw</t>
        </is>
      </c>
      <c r="C1" s="3" t="inlineStr">
        <is>
          <t>kw_unit</t>
        </is>
      </c>
      <c r="D1" s="3" t="inlineStr">
        <is>
          <t>kw_status</t>
        </is>
      </c>
      <c r="E1" s="3" t="inlineStr">
        <is>
          <t>presence</t>
        </is>
      </c>
      <c r="F1" s="3" t="inlineStr">
        <is>
          <t>class</t>
        </is>
      </c>
      <c r="G1" s="3" t="inlineStr">
        <is>
          <t>enabled</t>
        </is>
      </c>
      <c r="H1" s="3" t="inlineStr">
        <is>
          <t>graph_sector</t>
        </is>
      </c>
    </row>
    <row r="2">
      <c r="A2" t="inlineStr">
        <is>
          <t>GLASS_BURNOUT</t>
        </is>
      </c>
      <c r="E2" t="inlineStr">
        <is>
          <t>present</t>
        </is>
      </c>
      <c r="F2" t="inlineStr">
        <is>
          <t>intra</t>
        </is>
      </c>
      <c r="G2" t="b">
        <v>1</v>
      </c>
      <c r="H2" t="inlineStr">
        <is>
          <t>GLASS</t>
        </is>
      </c>
    </row>
    <row r="3">
      <c r="A3" t="inlineStr">
        <is>
          <t>GLASS_DIGEST</t>
        </is>
      </c>
      <c r="B3" s="8" t="n">
        <v>0.09</v>
      </c>
      <c r="C3" t="inlineStr">
        <is>
          <t>kW</t>
        </is>
      </c>
      <c r="D3" t="inlineStr">
        <is>
          <t>study</t>
        </is>
      </c>
      <c r="E3" t="inlineStr">
        <is>
          <t>present</t>
        </is>
      </c>
      <c r="F3" t="inlineStr">
        <is>
          <t>digest</t>
        </is>
      </c>
      <c r="G3" t="b">
        <v>1</v>
      </c>
      <c r="H3" t="inlineStr">
        <is>
          <t>GLASS</t>
        </is>
      </c>
    </row>
    <row r="4">
      <c r="A4" t="inlineStr">
        <is>
          <t>GLASS_MILL</t>
        </is>
      </c>
      <c r="E4" t="inlineStr">
        <is>
          <t>present</t>
        </is>
      </c>
      <c r="F4" t="inlineStr">
        <is>
          <t>intra</t>
        </is>
      </c>
      <c r="G4" t="b">
        <v>1</v>
      </c>
      <c r="H4" t="inlineStr">
        <is>
          <t>GLASS</t>
        </is>
      </c>
    </row>
    <row r="5">
      <c r="A5" t="inlineStr">
        <is>
          <t>GLASS_RINSE</t>
        </is>
      </c>
      <c r="E5" t="inlineStr">
        <is>
          <t>present</t>
        </is>
      </c>
      <c r="F5" t="inlineStr">
        <is>
          <t>intra</t>
        </is>
      </c>
      <c r="G5" t="b">
        <v>1</v>
      </c>
      <c r="H5" t="inlineStr">
        <is>
          <t>GLASS</t>
        </is>
      </c>
    </row>
    <row r="6">
      <c r="A6" t="inlineStr">
        <is>
          <t>SI_REDUCE</t>
        </is>
      </c>
      <c r="E6" t="inlineStr">
        <is>
          <t>present</t>
        </is>
      </c>
      <c r="F6" t="inlineStr">
        <is>
          <t>furnace</t>
        </is>
      </c>
      <c r="G6" t="b">
        <v>1</v>
      </c>
      <c r="H6" t="inlineStr">
        <is>
          <t>GLASS</t>
        </is>
      </c>
    </row>
    <row r="8">
      <c r="A8" s="1" t="inlineStr">
        <is>
          <t>SUBTOTAL continuous kW (SUM)</t>
        </is>
      </c>
      <c r="B8" s="10">
        <f>SUM(B2:B6)</f>
        <v/>
      </c>
    </row>
    <row r="10">
      <c r="A10" s="9" t="inlineStr">
        <is>
          <t>EDGES TOUCHING THIS SECTOR (from or to)</t>
        </is>
      </c>
    </row>
    <row r="11">
      <c r="A11" s="3" t="inlineStr">
        <is>
          <t>stream_id</t>
        </is>
      </c>
      <c r="B11" s="3" t="inlineStr">
        <is>
          <t>from_unit</t>
        </is>
      </c>
      <c r="C11" s="3" t="inlineStr">
        <is>
          <t>to_unit</t>
        </is>
      </c>
      <c r="D11" s="3" t="inlineStr">
        <is>
          <t>rate</t>
        </is>
      </c>
      <c r="E11" s="3" t="inlineStr">
        <is>
          <t>unit</t>
        </is>
      </c>
      <c r="F11" s="3" t="inlineStr">
        <is>
          <t>status</t>
        </is>
      </c>
    </row>
    <row r="12">
      <c r="A12" t="inlineStr">
        <is>
          <t>CHAR_TO_SI</t>
        </is>
      </c>
      <c r="B12" t="inlineStr">
        <is>
          <t>OIL_PYRO</t>
        </is>
      </c>
      <c r="C12" t="inlineStr">
        <is>
          <t>SI_REDUCE</t>
        </is>
      </c>
      <c r="F12" t="inlineStr">
        <is>
          <t>null</t>
        </is>
      </c>
    </row>
    <row r="13">
      <c r="A13" t="inlineStr">
        <is>
          <t>GLASS_MILL_TO_DIGEST</t>
        </is>
      </c>
      <c r="B13" t="inlineStr">
        <is>
          <t>GLASS_MILL</t>
        </is>
      </c>
      <c r="C13" t="inlineStr">
        <is>
          <t>GLASS_DIGEST</t>
        </is>
      </c>
      <c r="F13" t="inlineStr">
        <is>
          <t>null</t>
        </is>
      </c>
    </row>
    <row r="14">
      <c r="A14" t="inlineStr">
        <is>
          <t>HL-GLASS_BURNOUT-Q2-A</t>
        </is>
      </c>
      <c r="B14" t="inlineStr">
        <is>
          <t>GLASS_BURNOUT</t>
        </is>
      </c>
      <c r="C14" t="inlineStr">
        <is>
          <t>Q2_A</t>
        </is>
      </c>
      <c r="D14" t="n">
        <v>0.928</v>
      </c>
      <c r="E14" t="inlineStr">
        <is>
          <t>kW</t>
        </is>
      </c>
      <c r="F14" t="inlineStr">
        <is>
          <t>study</t>
        </is>
      </c>
    </row>
    <row r="15">
      <c r="A15" t="inlineStr">
        <is>
          <t>HL-GLASS_BURNOUT-Q2-B</t>
        </is>
      </c>
      <c r="B15" t="inlineStr">
        <is>
          <t>GLASS_BURNOUT</t>
        </is>
      </c>
      <c r="C15" t="inlineStr">
        <is>
          <t>Q2_B</t>
        </is>
      </c>
      <c r="D15" t="n">
        <v>0.928</v>
      </c>
      <c r="E15" t="inlineStr">
        <is>
          <t>kW</t>
        </is>
      </c>
      <c r="F15" t="inlineStr">
        <is>
          <t>study</t>
        </is>
      </c>
    </row>
    <row r="16">
      <c r="A16" t="inlineStr">
        <is>
          <t>HL-Q3-A-HX6</t>
        </is>
      </c>
      <c r="B16" t="inlineStr">
        <is>
          <t>Q3_A</t>
        </is>
      </c>
      <c r="C16" t="inlineStr">
        <is>
          <t>GLASS_DIGEST</t>
        </is>
      </c>
      <c r="D16" t="n">
        <v>0.3809</v>
      </c>
      <c r="E16" t="inlineStr">
        <is>
          <t>kW</t>
        </is>
      </c>
      <c r="F16" t="inlineStr">
        <is>
          <t>study</t>
        </is>
      </c>
    </row>
    <row r="17">
      <c r="A17" t="inlineStr">
        <is>
          <t>HL-Q3-B-HX6</t>
        </is>
      </c>
      <c r="B17" t="inlineStr">
        <is>
          <t>Q3_B</t>
        </is>
      </c>
      <c r="C17" t="inlineStr">
        <is>
          <t>GLASS_DIGEST</t>
        </is>
      </c>
      <c r="D17" t="n">
        <v>0.3809</v>
      </c>
      <c r="E17" t="inlineStr">
        <is>
          <t>kW</t>
        </is>
      </c>
      <c r="F17" t="inlineStr">
        <is>
          <t>study</t>
        </is>
      </c>
    </row>
    <row r="18">
      <c r="A18" t="inlineStr">
        <is>
          <t>IA-BASE-01</t>
        </is>
      </c>
      <c r="B18" t="inlineStr">
        <is>
          <t>EVAP_BASE</t>
        </is>
      </c>
      <c r="C18" t="inlineStr">
        <is>
          <t>GLASS_DIGEST</t>
        </is>
      </c>
      <c r="D18" t="n">
        <v>21.968</v>
      </c>
      <c r="E18" t="inlineStr">
        <is>
          <t>kg/d</t>
        </is>
      </c>
      <c r="F18" t="inlineStr">
        <is>
          <t>study</t>
        </is>
      </c>
    </row>
    <row r="19">
      <c r="A19" t="inlineStr">
        <is>
          <t>IA-CULLET</t>
        </is>
      </c>
      <c r="B19" t="inlineStr">
        <is>
          <t>LEACH_CSTR_1</t>
        </is>
      </c>
      <c r="C19" t="inlineStr">
        <is>
          <t>GLASS_RINSE</t>
        </is>
      </c>
      <c r="D19" t="n">
        <v>36.82</v>
      </c>
      <c r="E19" t="inlineStr">
        <is>
          <t>kg/d</t>
        </is>
      </c>
      <c r="F19" t="inlineStr">
        <is>
          <t>study</t>
        </is>
      </c>
    </row>
    <row r="20">
      <c r="A20" t="inlineStr">
        <is>
          <t>IA-DIG-LIQ</t>
        </is>
      </c>
      <c r="B20" t="inlineStr">
        <is>
          <t>GLASS_DIGEST</t>
        </is>
      </c>
      <c r="C20" t="inlineStr">
        <is>
          <t>LEACH_CSTR_1</t>
        </is>
      </c>
      <c r="D20" t="n">
        <v>21.968</v>
      </c>
      <c r="E20" t="inlineStr">
        <is>
          <t>kg/d</t>
        </is>
      </c>
      <c r="F20" t="inlineStr">
        <is>
          <t>study</t>
        </is>
      </c>
    </row>
    <row r="21">
      <c r="A21" t="inlineStr">
        <is>
          <t>IA-GLASS-01</t>
        </is>
      </c>
      <c r="B21" t="inlineStr">
        <is>
          <t>GLASS_RINSE</t>
        </is>
      </c>
      <c r="C21" t="inlineStr">
        <is>
          <t>GLASS_MILL</t>
        </is>
      </c>
      <c r="D21" t="n">
        <v>36.82</v>
      </c>
      <c r="E21" t="inlineStr">
        <is>
          <t>kg/d</t>
        </is>
      </c>
      <c r="F21" t="inlineStr">
        <is>
          <t>study</t>
        </is>
      </c>
    </row>
    <row r="22">
      <c r="A22" t="inlineStr">
        <is>
          <t>IA-GLASS-02</t>
        </is>
      </c>
      <c r="B22" t="inlineStr">
        <is>
          <t>GLASS_MILL</t>
        </is>
      </c>
      <c r="C22" t="inlineStr">
        <is>
          <t>GLASS_BURNOUT</t>
        </is>
      </c>
      <c r="D22" t="n">
        <v>30</v>
      </c>
      <c r="E22" t="inlineStr">
        <is>
          <t>kg/d</t>
        </is>
      </c>
      <c r="F22" t="inlineStr">
        <is>
          <t>study</t>
        </is>
      </c>
    </row>
    <row r="23">
      <c r="A23" t="inlineStr">
        <is>
          <t>IA-GLASS-03</t>
        </is>
      </c>
      <c r="B23" t="inlineStr">
        <is>
          <t>GLASS_BURNOUT</t>
        </is>
      </c>
      <c r="C23" t="inlineStr">
        <is>
          <t>GLASS_DIGEST</t>
        </is>
      </c>
      <c r="D23" t="n">
        <v>30</v>
      </c>
      <c r="E23" t="inlineStr">
        <is>
          <t>kg/d</t>
        </is>
      </c>
      <c r="F23" t="inlineStr">
        <is>
          <t>study</t>
        </is>
      </c>
    </row>
    <row r="24">
      <c r="A24" t="inlineStr">
        <is>
          <t>IA-MILL-LOSS</t>
        </is>
      </c>
      <c r="B24" t="inlineStr">
        <is>
          <t>GLASS_MILL</t>
        </is>
      </c>
      <c r="C24" t="inlineStr">
        <is>
          <t>BAGHOUSE</t>
        </is>
      </c>
      <c r="D24" t="n">
        <v>6.82</v>
      </c>
      <c r="E24" t="inlineStr">
        <is>
          <t>kg/d</t>
        </is>
      </c>
      <c r="F24" t="inlineStr">
        <is>
          <t>study</t>
        </is>
      </c>
    </row>
    <row r="25">
      <c r="A25" t="inlineStr">
        <is>
          <t>IA-SIL-SRC</t>
        </is>
      </c>
      <c r="B25" t="inlineStr">
        <is>
          <t>GLASS_DIGEST</t>
        </is>
      </c>
      <c r="C25" t="inlineStr">
        <is>
          <t>WS_SLURRY</t>
        </is>
      </c>
      <c r="D25" t="n">
        <v>3.3</v>
      </c>
      <c r="E25" t="inlineStr">
        <is>
          <t>kg/d</t>
        </is>
      </c>
      <c r="F25" t="inlineStr">
        <is>
          <t>study</t>
        </is>
      </c>
    </row>
    <row r="26">
      <c r="A26" t="inlineStr">
        <is>
          <t>IA-TRIM-HX6</t>
        </is>
      </c>
      <c r="B26" t="inlineStr">
        <is>
          <t>RECTIFIER</t>
        </is>
      </c>
      <c r="C26" t="inlineStr">
        <is>
          <t>GLASS_DIGEST</t>
        </is>
      </c>
      <c r="D26" t="n">
        <v>4.158</v>
      </c>
      <c r="E26" t="inlineStr">
        <is>
          <t>kW</t>
        </is>
      </c>
      <c r="F26" t="inlineStr">
        <is>
          <t>study</t>
        </is>
      </c>
    </row>
    <row r="27">
      <c r="A27" t="inlineStr">
        <is>
          <t>S08G</t>
        </is>
      </c>
      <c r="B27" t="inlineStr">
        <is>
          <t>GLASS_DIGEST</t>
        </is>
      </c>
      <c r="C27" t="inlineStr">
        <is>
          <t>MFG_SHOP</t>
        </is>
      </c>
      <c r="D27" t="n">
        <v>26.7</v>
      </c>
      <c r="E27" t="inlineStr">
        <is>
          <t>kg/d</t>
        </is>
      </c>
      <c r="F27" t="inlineStr">
        <is>
          <t>study</t>
        </is>
      </c>
    </row>
    <row r="28">
      <c r="A28" t="inlineStr">
        <is>
          <t>S101</t>
        </is>
      </c>
      <c r="B28" t="inlineStr">
        <is>
          <t>Q4_BUS</t>
        </is>
      </c>
      <c r="C28" t="inlineStr">
        <is>
          <t>GLASS_DIGEST</t>
        </is>
      </c>
      <c r="D28" t="n">
        <v>0.2822</v>
      </c>
      <c r="E28" t="inlineStr">
        <is>
          <t>kW</t>
        </is>
      </c>
      <c r="F28" t="inlineStr">
        <is>
          <t>study</t>
        </is>
      </c>
    </row>
    <row r="29">
      <c r="A29" t="inlineStr">
        <is>
          <t>SF-GLASS_DIGEST</t>
        </is>
      </c>
      <c r="B29" t="inlineStr">
        <is>
          <t>SOL_ARK_60K</t>
        </is>
      </c>
      <c r="C29" t="inlineStr">
        <is>
          <t>GLASS_DIGEST</t>
        </is>
      </c>
      <c r="D29" t="n">
        <v>0.09</v>
      </c>
      <c r="E29" t="inlineStr">
        <is>
          <t>kW</t>
        </is>
      </c>
      <c r="F29" t="inlineStr">
        <is>
          <t>study</t>
        </is>
      </c>
    </row>
    <row r="30">
      <c r="A30" t="inlineStr">
        <is>
          <t>SHELL_TO_GLASS</t>
        </is>
      </c>
      <c r="B30" t="inlineStr">
        <is>
          <t>SHELL_BREAK</t>
        </is>
      </c>
      <c r="C30" t="inlineStr">
        <is>
          <t>GLASS_MILL</t>
        </is>
      </c>
      <c r="D30" t="n">
        <v>0</v>
      </c>
      <c r="E30" t="inlineStr">
        <is>
          <t>kg/d</t>
        </is>
      </c>
      <c r="F30" t="inlineStr">
        <is>
          <t>study</t>
        </is>
      </c>
    </row>
  </sheetData>
  <autoFilter ref="A1:H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8" customWidth="1" min="3" max="3"/>
    <col width="10" customWidth="1" min="4" max="4"/>
    <col width="12" customWidth="1" min="5" max="5"/>
    <col width="16" customWidth="1" min="6" max="6"/>
    <col width="9" customWidth="1" min="7" max="7"/>
    <col width="13" customWidth="1" min="8" max="8"/>
  </cols>
  <sheetData>
    <row r="1">
      <c r="A1" s="3" t="inlineStr">
        <is>
          <t>unit_id</t>
        </is>
      </c>
      <c r="B1" s="3" t="inlineStr">
        <is>
          <t>continuous_kw</t>
        </is>
      </c>
      <c r="C1" s="3" t="inlineStr">
        <is>
          <t>kw_unit</t>
        </is>
      </c>
      <c r="D1" s="3" t="inlineStr">
        <is>
          <t>kw_status</t>
        </is>
      </c>
      <c r="E1" s="3" t="inlineStr">
        <is>
          <t>presence</t>
        </is>
      </c>
      <c r="F1" s="3" t="inlineStr">
        <is>
          <t>class</t>
        </is>
      </c>
      <c r="G1" s="3" t="inlineStr">
        <is>
          <t>enabled</t>
        </is>
      </c>
      <c r="H1" s="3" t="inlineStr">
        <is>
          <t>graph_sector</t>
        </is>
      </c>
    </row>
    <row r="2">
      <c r="A2" t="inlineStr">
        <is>
          <t>FILM_CAST</t>
        </is>
      </c>
      <c r="B2" s="8" t="n">
        <v>0.1087</v>
      </c>
      <c r="C2" t="inlineStr">
        <is>
          <t>kW</t>
        </is>
      </c>
      <c r="D2" t="inlineStr">
        <is>
          <t>study</t>
        </is>
      </c>
      <c r="E2" t="inlineStr">
        <is>
          <t>present</t>
        </is>
      </c>
      <c r="F2" t="inlineStr">
        <is>
          <t>former</t>
        </is>
      </c>
      <c r="G2" t="b">
        <v>1</v>
      </c>
      <c r="H2" t="inlineStr">
        <is>
          <t>POLYMERS</t>
        </is>
      </c>
    </row>
    <row r="3">
      <c r="A3" t="inlineStr">
        <is>
          <t>HF_GEN</t>
        </is>
      </c>
      <c r="B3" s="8" t="n">
        <v>0.3083</v>
      </c>
      <c r="C3" t="inlineStr">
        <is>
          <t>kW</t>
        </is>
      </c>
      <c r="D3" t="inlineStr">
        <is>
          <t>study</t>
        </is>
      </c>
      <c r="E3" t="inlineStr">
        <is>
          <t>present</t>
        </is>
      </c>
      <c r="F3" t="inlineStr">
        <is>
          <t>reactor</t>
        </is>
      </c>
      <c r="G3" t="b">
        <v>1</v>
      </c>
      <c r="H3" t="inlineStr">
        <is>
          <t>POLYMERS</t>
        </is>
      </c>
    </row>
    <row r="4">
      <c r="A4" t="inlineStr">
        <is>
          <t>PELLET</t>
        </is>
      </c>
      <c r="E4" t="inlineStr">
        <is>
          <t>present</t>
        </is>
      </c>
      <c r="F4" t="inlineStr">
        <is>
          <t>former</t>
        </is>
      </c>
      <c r="G4" t="b">
        <v>1</v>
      </c>
      <c r="H4" t="inlineStr">
        <is>
          <t>POLYMERS</t>
        </is>
      </c>
    </row>
    <row r="5">
      <c r="A5" t="inlineStr">
        <is>
          <t>POLY_COND</t>
        </is>
      </c>
      <c r="E5" t="inlineStr">
        <is>
          <t>present</t>
        </is>
      </c>
      <c r="F5" t="inlineStr">
        <is>
          <t>reactor</t>
        </is>
      </c>
      <c r="G5" t="b">
        <v>1</v>
      </c>
      <c r="H5" t="inlineStr">
        <is>
          <t>POLYMERS</t>
        </is>
      </c>
    </row>
    <row r="6">
      <c r="A6" t="inlineStr">
        <is>
          <t>POLY_F</t>
        </is>
      </c>
      <c r="B6" s="8" t="n">
        <v>0.0449</v>
      </c>
      <c r="C6" t="inlineStr">
        <is>
          <t>kW</t>
        </is>
      </c>
      <c r="D6" t="inlineStr">
        <is>
          <t>study</t>
        </is>
      </c>
      <c r="E6" t="inlineStr">
        <is>
          <t>present</t>
        </is>
      </c>
      <c r="F6" t="inlineStr">
        <is>
          <t>reactor</t>
        </is>
      </c>
      <c r="G6" t="b">
        <v>1</v>
      </c>
      <c r="H6" t="inlineStr">
        <is>
          <t>POLYMERS</t>
        </is>
      </c>
    </row>
    <row r="7">
      <c r="A7" t="inlineStr">
        <is>
          <t>POLY_OLEFIN</t>
        </is>
      </c>
      <c r="E7" t="inlineStr">
        <is>
          <t>present</t>
        </is>
      </c>
      <c r="F7" t="inlineStr">
        <is>
          <t>reactor</t>
        </is>
      </c>
      <c r="G7" t="b">
        <v>1</v>
      </c>
      <c r="H7" t="inlineStr">
        <is>
          <t>POLYMERS</t>
        </is>
      </c>
    </row>
    <row r="8">
      <c r="A8" t="inlineStr">
        <is>
          <t>POLY_STOCK</t>
        </is>
      </c>
      <c r="E8" t="inlineStr">
        <is>
          <t>present</t>
        </is>
      </c>
      <c r="F8" t="inlineStr">
        <is>
          <t>store</t>
        </is>
      </c>
      <c r="G8" t="b">
        <v>1</v>
      </c>
      <c r="H8" t="inlineStr">
        <is>
          <t>POLYMERS</t>
        </is>
      </c>
    </row>
    <row r="9">
      <c r="A9" t="inlineStr">
        <is>
          <t>POWDER_RESIN</t>
        </is>
      </c>
      <c r="B9" s="8" t="n">
        <v>0.0152</v>
      </c>
      <c r="C9" t="inlineStr">
        <is>
          <t>kW</t>
        </is>
      </c>
      <c r="D9" t="inlineStr">
        <is>
          <t>study</t>
        </is>
      </c>
      <c r="E9" t="inlineStr">
        <is>
          <t>present</t>
        </is>
      </c>
      <c r="F9" t="inlineStr">
        <is>
          <t>former</t>
        </is>
      </c>
      <c r="G9" t="b">
        <v>1</v>
      </c>
      <c r="H9" t="inlineStr">
        <is>
          <t>POLYMERS</t>
        </is>
      </c>
    </row>
    <row r="10">
      <c r="A10" t="inlineStr">
        <is>
          <t>TFE_SYN</t>
        </is>
      </c>
      <c r="B10" s="8" t="n">
        <v>0.3989</v>
      </c>
      <c r="C10" t="inlineStr">
        <is>
          <t>kW</t>
        </is>
      </c>
      <c r="D10" t="inlineStr">
        <is>
          <t>study</t>
        </is>
      </c>
      <c r="E10" t="inlineStr">
        <is>
          <t>present</t>
        </is>
      </c>
      <c r="F10" t="inlineStr">
        <is>
          <t>reactor</t>
        </is>
      </c>
      <c r="G10" t="b">
        <v>1</v>
      </c>
      <c r="H10" t="inlineStr">
        <is>
          <t>POLYMERS</t>
        </is>
      </c>
    </row>
    <row r="11">
      <c r="A11" t="inlineStr">
        <is>
          <t>VDF_SYN</t>
        </is>
      </c>
      <c r="B11" s="8" t="n">
        <v>0.5128</v>
      </c>
      <c r="C11" t="inlineStr">
        <is>
          <t>kW</t>
        </is>
      </c>
      <c r="D11" t="inlineStr">
        <is>
          <t>study</t>
        </is>
      </c>
      <c r="E11" t="inlineStr">
        <is>
          <t>present</t>
        </is>
      </c>
      <c r="F11" t="inlineStr">
        <is>
          <t>reactor</t>
        </is>
      </c>
      <c r="G11" t="b">
        <v>1</v>
      </c>
      <c r="H11" t="inlineStr">
        <is>
          <t>POLYMERS</t>
        </is>
      </c>
    </row>
    <row r="13">
      <c r="A13" s="1" t="inlineStr">
        <is>
          <t>SUBTOTAL continuous kW (SUM)</t>
        </is>
      </c>
      <c r="B13" s="10">
        <f>SUM(B2:B11)</f>
        <v/>
      </c>
    </row>
    <row r="15">
      <c r="A15" s="9" t="inlineStr">
        <is>
          <t>EDGES TOUCHING THIS SECTOR (from or to)</t>
        </is>
      </c>
    </row>
    <row r="16">
      <c r="A16" s="3" t="inlineStr">
        <is>
          <t>stream_id</t>
        </is>
      </c>
      <c r="B16" s="3" t="inlineStr">
        <is>
          <t>from_unit</t>
        </is>
      </c>
      <c r="C16" s="3" t="inlineStr">
        <is>
          <t>to_unit</t>
        </is>
      </c>
      <c r="D16" s="3" t="inlineStr">
        <is>
          <t>rate</t>
        </is>
      </c>
      <c r="E16" s="3" t="inlineStr">
        <is>
          <t>unit</t>
        </is>
      </c>
      <c r="F16" s="3" t="inlineStr">
        <is>
          <t>status</t>
        </is>
      </c>
    </row>
    <row r="17">
      <c r="A17" t="inlineStr">
        <is>
          <t>CRU_TO_TFE</t>
        </is>
      </c>
      <c r="B17" t="inlineStr">
        <is>
          <t>CRU</t>
        </is>
      </c>
      <c r="C17" t="inlineStr">
        <is>
          <t>TFE_SYN</t>
        </is>
      </c>
      <c r="D17" t="n">
        <v>0.283567</v>
      </c>
      <c r="E17" t="inlineStr">
        <is>
          <t>kg/d</t>
        </is>
      </c>
      <c r="F17" t="inlineStr">
        <is>
          <t>study</t>
        </is>
      </c>
    </row>
    <row r="18">
      <c r="A18" t="inlineStr">
        <is>
          <t>CRU_TO_VDF</t>
        </is>
      </c>
      <c r="B18" t="inlineStr">
        <is>
          <t>CRU</t>
        </is>
      </c>
      <c r="C18" t="inlineStr">
        <is>
          <t>VDF_SYN</t>
        </is>
      </c>
      <c r="D18" t="n">
        <v>0.332195</v>
      </c>
      <c r="E18" t="inlineStr">
        <is>
          <t>kg/d</t>
        </is>
      </c>
      <c r="F18" t="inlineStr">
        <is>
          <t>study</t>
        </is>
      </c>
    </row>
    <row r="19">
      <c r="A19" t="inlineStr">
        <is>
          <t>DIGEST_TO_POLY</t>
        </is>
      </c>
      <c r="B19" t="inlineStr">
        <is>
          <t>BLACK_DIGEST</t>
        </is>
      </c>
      <c r="C19" t="inlineStr">
        <is>
          <t>POLY_COND</t>
        </is>
      </c>
      <c r="D19" t="n">
        <v>0</v>
      </c>
      <c r="E19" t="inlineStr">
        <is>
          <t>kg/d</t>
        </is>
      </c>
      <c r="F19" t="inlineStr">
        <is>
          <t>study</t>
        </is>
      </c>
    </row>
    <row r="20">
      <c r="A20" t="inlineStr">
        <is>
          <t>FILM_TO_STOCK</t>
        </is>
      </c>
      <c r="B20" t="inlineStr">
        <is>
          <t>FILM_CAST</t>
        </is>
      </c>
      <c r="C20" t="inlineStr">
        <is>
          <t>POLY_STOCK</t>
        </is>
      </c>
      <c r="D20" t="n">
        <v>0.14</v>
      </c>
      <c r="E20" t="inlineStr">
        <is>
          <t>kg/d</t>
        </is>
      </c>
      <c r="F20" t="inlineStr">
        <is>
          <t>study</t>
        </is>
      </c>
    </row>
    <row r="21">
      <c r="A21" t="inlineStr">
        <is>
          <t>FLUORO_TO_MFG</t>
        </is>
      </c>
      <c r="B21" t="inlineStr">
        <is>
          <t>POLY_STOCK</t>
        </is>
      </c>
      <c r="C21" t="inlineStr">
        <is>
          <t>MFG_SHOP</t>
        </is>
      </c>
      <c r="D21" t="n">
        <v>0.23</v>
      </c>
      <c r="E21" t="inlineStr">
        <is>
          <t>kg/d</t>
        </is>
      </c>
      <c r="F21" t="inlineStr">
        <is>
          <t>study</t>
        </is>
      </c>
    </row>
    <row r="22">
      <c r="A22" t="inlineStr">
        <is>
          <t>F_RECOVER_TO_HF_GEN</t>
        </is>
      </c>
      <c r="B22" t="inlineStr">
        <is>
          <t>F_RECOVER</t>
        </is>
      </c>
      <c r="C22" t="inlineStr">
        <is>
          <t>HF_GEN</t>
        </is>
      </c>
      <c r="D22" t="n">
        <v>1.52</v>
      </c>
      <c r="E22" t="inlineStr">
        <is>
          <t>kg/d</t>
        </is>
      </c>
      <c r="F22" t="inlineStr">
        <is>
          <t>study</t>
        </is>
      </c>
    </row>
    <row r="23">
      <c r="A23" t="inlineStr">
        <is>
          <t>HF_GEN_TO_TFE</t>
        </is>
      </c>
      <c r="B23" t="inlineStr">
        <is>
          <t>HF_GEN</t>
        </is>
      </c>
      <c r="C23" t="inlineStr">
        <is>
          <t>TFE_SYN</t>
        </is>
      </c>
      <c r="D23" t="n">
        <v>0.080016</v>
      </c>
      <c r="E23" t="inlineStr">
        <is>
          <t>kg/d</t>
        </is>
      </c>
      <c r="F23" t="inlineStr">
        <is>
          <t>study</t>
        </is>
      </c>
    </row>
    <row r="24">
      <c r="A24" t="inlineStr">
        <is>
          <t>HF_GEN_TO_VDF</t>
        </is>
      </c>
      <c r="B24" t="inlineStr">
        <is>
          <t>HF_GEN</t>
        </is>
      </c>
      <c r="C24" t="inlineStr">
        <is>
          <t>VDF_SYN</t>
        </is>
      </c>
      <c r="D24" t="n">
        <v>0.093738</v>
      </c>
      <c r="E24" t="inlineStr">
        <is>
          <t>kg/d</t>
        </is>
      </c>
      <c r="F24" t="inlineStr">
        <is>
          <t>study</t>
        </is>
      </c>
    </row>
    <row r="25">
      <c r="A25" t="inlineStr">
        <is>
          <t>IA-C5-POLY</t>
        </is>
      </c>
      <c r="B25" t="inlineStr">
        <is>
          <t>PROD_C5_C10</t>
        </is>
      </c>
      <c r="C25" t="inlineStr">
        <is>
          <t>POLY_OLEFIN</t>
        </is>
      </c>
      <c r="D25" t="n">
        <v>0.294127</v>
      </c>
      <c r="E25" t="inlineStr">
        <is>
          <t>kg/d</t>
        </is>
      </c>
      <c r="F25" t="inlineStr">
        <is>
          <t>study</t>
        </is>
      </c>
    </row>
    <row r="26">
      <c r="A26" t="inlineStr">
        <is>
          <t>IA-CAF2-MU</t>
        </is>
      </c>
      <c r="B26" t="inlineStr">
        <is>
          <t>NORTH_DOCK</t>
        </is>
      </c>
      <c r="C26" t="inlineStr">
        <is>
          <t>HF_GEN</t>
        </is>
      </c>
      <c r="D26" t="n">
        <v>0.32554</v>
      </c>
      <c r="E26" t="inlineStr">
        <is>
          <t>kg/d</t>
        </is>
      </c>
      <c r="F26" t="inlineStr">
        <is>
          <t>study</t>
        </is>
      </c>
    </row>
    <row r="27">
      <c r="A27" t="inlineStr">
        <is>
          <t>IA-GYPSUM-SHIP</t>
        </is>
      </c>
      <c r="B27" t="inlineStr">
        <is>
          <t>HF_GEN</t>
        </is>
      </c>
      <c r="C27" t="inlineStr">
        <is>
          <t>NORTH_DOCK</t>
        </is>
      </c>
      <c r="D27" t="n">
        <v>0.575554</v>
      </c>
      <c r="E27" t="inlineStr">
        <is>
          <t>kg/d</t>
        </is>
      </c>
      <c r="F27" t="inlineStr">
        <is>
          <t>study</t>
        </is>
      </c>
    </row>
    <row r="28">
      <c r="A28" t="inlineStr">
        <is>
          <t>IA-H2SO4-MU</t>
        </is>
      </c>
      <c r="B28" t="inlineStr">
        <is>
          <t>NORTH_DOCK</t>
        </is>
      </c>
      <c r="C28" t="inlineStr">
        <is>
          <t>HF_GEN</t>
        </is>
      </c>
      <c r="D28" t="n">
        <v>0.403768</v>
      </c>
      <c r="E28" t="inlineStr">
        <is>
          <t>kg/d</t>
        </is>
      </c>
      <c r="F28" t="inlineStr">
        <is>
          <t>study</t>
        </is>
      </c>
    </row>
    <row r="29">
      <c r="A29" t="inlineStr">
        <is>
          <t>IA-HF-PROD</t>
        </is>
      </c>
      <c r="B29" t="inlineStr">
        <is>
          <t>HF_GEN</t>
        </is>
      </c>
      <c r="C29" t="inlineStr">
        <is>
          <t>WS_HF_ED</t>
        </is>
      </c>
      <c r="D29" t="n">
        <v>1.5</v>
      </c>
      <c r="E29" t="inlineStr">
        <is>
          <t>kg/d</t>
        </is>
      </c>
      <c r="F29" t="inlineStr">
        <is>
          <t>study</t>
        </is>
      </c>
    </row>
    <row r="30">
      <c r="A30" t="inlineStr">
        <is>
          <t>MEOH_TO_OLEFIN</t>
        </is>
      </c>
      <c r="B30" t="inlineStr">
        <is>
          <t>MEOH_SYNTH</t>
        </is>
      </c>
      <c r="C30" t="inlineStr">
        <is>
          <t>POLY_OLEFIN</t>
        </is>
      </c>
      <c r="D30" t="n">
        <v>0</v>
      </c>
      <c r="E30" t="inlineStr">
        <is>
          <t>kg/d</t>
        </is>
      </c>
      <c r="F30" t="inlineStr">
        <is>
          <t>study</t>
        </is>
      </c>
    </row>
    <row r="31">
      <c r="A31" t="inlineStr">
        <is>
          <t>MEOH_TO_TFE</t>
        </is>
      </c>
      <c r="B31" t="inlineStr">
        <is>
          <t>MEOH_TANK</t>
        </is>
      </c>
      <c r="C31" t="inlineStr">
        <is>
          <t>TFE_SYN</t>
        </is>
      </c>
      <c r="D31" t="n">
        <v>0.064071</v>
      </c>
      <c r="E31" t="inlineStr">
        <is>
          <t>kg/d</t>
        </is>
      </c>
      <c r="F31" t="inlineStr">
        <is>
          <t>study</t>
        </is>
      </c>
    </row>
    <row r="32">
      <c r="A32" t="inlineStr">
        <is>
          <t>MEOH_TO_VDF</t>
        </is>
      </c>
      <c r="B32" t="inlineStr">
        <is>
          <t>MEOH_TANK</t>
        </is>
      </c>
      <c r="C32" t="inlineStr">
        <is>
          <t>VDF_SYN</t>
        </is>
      </c>
      <c r="D32" t="n">
        <v>0.150117</v>
      </c>
      <c r="E32" t="inlineStr">
        <is>
          <t>kg/d</t>
        </is>
      </c>
      <c r="F32" t="inlineStr">
        <is>
          <t>study</t>
        </is>
      </c>
    </row>
    <row r="33">
      <c r="A33" t="inlineStr">
        <is>
          <t>OIL_TO_OLEFIN</t>
        </is>
      </c>
      <c r="B33" t="inlineStr">
        <is>
          <t>OIL_FRAC</t>
        </is>
      </c>
      <c r="C33" t="inlineStr">
        <is>
          <t>POLY_OLEFIN</t>
        </is>
      </c>
      <c r="D33" t="n">
        <v>0</v>
      </c>
      <c r="E33" t="inlineStr">
        <is>
          <t>kg/d</t>
        </is>
      </c>
      <c r="F33" t="inlineStr">
        <is>
          <t>study</t>
        </is>
      </c>
    </row>
    <row r="34">
      <c r="A34" t="inlineStr">
        <is>
          <t>OLEFIN_TO_PELLET</t>
        </is>
      </c>
      <c r="B34" t="inlineStr">
        <is>
          <t>POLY_OLEFIN</t>
        </is>
      </c>
      <c r="C34" t="inlineStr">
        <is>
          <t>PELLET</t>
        </is>
      </c>
      <c r="D34" t="n">
        <v>0.294127</v>
      </c>
      <c r="E34" t="inlineStr">
        <is>
          <t>kg/d</t>
        </is>
      </c>
      <c r="F34" t="inlineStr">
        <is>
          <t>study</t>
        </is>
      </c>
    </row>
    <row r="35">
      <c r="A35" t="inlineStr">
        <is>
          <t>PELLET_TO_STOCK</t>
        </is>
      </c>
      <c r="B35" t="inlineStr">
        <is>
          <t>PELLET</t>
        </is>
      </c>
      <c r="C35" t="inlineStr">
        <is>
          <t>POLY_STOCK</t>
        </is>
      </c>
      <c r="D35" t="n">
        <v>0.294127</v>
      </c>
      <c r="E35" t="inlineStr">
        <is>
          <t>kg/d</t>
        </is>
      </c>
      <c r="F35" t="inlineStr">
        <is>
          <t>study</t>
        </is>
      </c>
    </row>
    <row r="36">
      <c r="A36" t="inlineStr">
        <is>
          <t>POLYF_RECLAIM</t>
        </is>
      </c>
      <c r="B36" t="inlineStr">
        <is>
          <t>POLY_F</t>
        </is>
      </c>
      <c r="C36" t="inlineStr">
        <is>
          <t>F_RECOVER</t>
        </is>
      </c>
      <c r="D36" t="n">
        <v>0.02</v>
      </c>
      <c r="E36" t="inlineStr">
        <is>
          <t>kg/d</t>
        </is>
      </c>
      <c r="F36" t="inlineStr">
        <is>
          <t>study</t>
        </is>
      </c>
    </row>
    <row r="37">
      <c r="A37" t="inlineStr">
        <is>
          <t>POLYF_TO_FILM</t>
        </is>
      </c>
      <c r="B37" t="inlineStr">
        <is>
          <t>POLY_F</t>
        </is>
      </c>
      <c r="C37" t="inlineStr">
        <is>
          <t>FILM_CAST</t>
        </is>
      </c>
      <c r="D37" t="n">
        <v>0.14</v>
      </c>
      <c r="E37" t="inlineStr">
        <is>
          <t>kg/d</t>
        </is>
      </c>
      <c r="F37" t="inlineStr">
        <is>
          <t>study</t>
        </is>
      </c>
    </row>
    <row r="38">
      <c r="A38" t="inlineStr">
        <is>
          <t>POLYF_TO_PELLET</t>
        </is>
      </c>
      <c r="B38" t="inlineStr">
        <is>
          <t>POLY_F</t>
        </is>
      </c>
      <c r="C38" t="inlineStr">
        <is>
          <t>PELLET</t>
        </is>
      </c>
      <c r="D38" t="n">
        <v>0</v>
      </c>
      <c r="E38" t="inlineStr">
        <is>
          <t>kg/d</t>
        </is>
      </c>
      <c r="F38" t="inlineStr">
        <is>
          <t>study</t>
        </is>
      </c>
    </row>
    <row r="39">
      <c r="A39" t="inlineStr">
        <is>
          <t>POLYF_TO_POWDER</t>
        </is>
      </c>
      <c r="B39" t="inlineStr">
        <is>
          <t>POLY_F</t>
        </is>
      </c>
      <c r="C39" t="inlineStr">
        <is>
          <t>POWDER_RESIN</t>
        </is>
      </c>
      <c r="D39" t="n">
        <v>0.09</v>
      </c>
      <c r="E39" t="inlineStr">
        <is>
          <t>kg/d</t>
        </is>
      </c>
      <c r="F39" t="inlineStr">
        <is>
          <t>study</t>
        </is>
      </c>
    </row>
    <row r="40">
      <c r="A40" t="inlineStr">
        <is>
          <t>POLY_TO_FAB</t>
        </is>
      </c>
      <c r="B40" t="inlineStr">
        <is>
          <t>POLY_STOCK</t>
        </is>
      </c>
      <c r="C40" t="inlineStr">
        <is>
          <t>WAFER_FAB</t>
        </is>
      </c>
      <c r="D40" t="n">
        <v>0</v>
      </c>
      <c r="E40" t="inlineStr">
        <is>
          <t>kg/d</t>
        </is>
      </c>
      <c r="F40" t="inlineStr">
        <is>
          <t>study</t>
        </is>
      </c>
    </row>
    <row r="41">
      <c r="A41" t="inlineStr">
        <is>
          <t>POLY_TO_MFG</t>
        </is>
      </c>
      <c r="B41" t="inlineStr">
        <is>
          <t>POLY_STOCK</t>
        </is>
      </c>
      <c r="C41" t="inlineStr">
        <is>
          <t>MFG_SHOP</t>
        </is>
      </c>
      <c r="D41" t="n">
        <v>0.267388</v>
      </c>
      <c r="E41" t="inlineStr">
        <is>
          <t>kg/d</t>
        </is>
      </c>
      <c r="F41" t="inlineStr">
        <is>
          <t>study</t>
        </is>
      </c>
    </row>
    <row r="42">
      <c r="A42" t="inlineStr">
        <is>
          <t>POLY_TO_WET</t>
        </is>
      </c>
      <c r="B42" t="inlineStr">
        <is>
          <t>POLY_STOCK</t>
        </is>
      </c>
      <c r="C42" t="inlineStr">
        <is>
          <t>LEACH_CSTR_1</t>
        </is>
      </c>
      <c r="D42" t="n">
        <v>0.026739</v>
      </c>
      <c r="E42" t="inlineStr">
        <is>
          <t>kg/d</t>
        </is>
      </c>
      <c r="F42" t="inlineStr">
        <is>
          <t>study</t>
        </is>
      </c>
    </row>
    <row r="43">
      <c r="A43" t="inlineStr">
        <is>
          <t>POWDER_TO_STOCK</t>
        </is>
      </c>
      <c r="B43" t="inlineStr">
        <is>
          <t>POWDER_RESIN</t>
        </is>
      </c>
      <c r="C43" t="inlineStr">
        <is>
          <t>POLY_STOCK</t>
        </is>
      </c>
      <c r="D43" t="n">
        <v>0.09</v>
      </c>
      <c r="E43" t="inlineStr">
        <is>
          <t>kg/d</t>
        </is>
      </c>
      <c r="F43" t="inlineStr">
        <is>
          <t>study</t>
        </is>
      </c>
    </row>
    <row r="44">
      <c r="A44" t="inlineStr">
        <is>
          <t>SF-FILM_CAST</t>
        </is>
      </c>
      <c r="B44" t="inlineStr">
        <is>
          <t>SOL_ARK_60K</t>
        </is>
      </c>
      <c r="C44" t="inlineStr">
        <is>
          <t>FILM_CAST</t>
        </is>
      </c>
      <c r="D44" t="n">
        <v>0.1087</v>
      </c>
      <c r="E44" t="inlineStr">
        <is>
          <t>kW</t>
        </is>
      </c>
      <c r="F44" t="inlineStr">
        <is>
          <t>study</t>
        </is>
      </c>
    </row>
    <row r="45">
      <c r="A45" t="inlineStr">
        <is>
          <t>SF-HF_GEN</t>
        </is>
      </c>
      <c r="B45" t="inlineStr">
        <is>
          <t>SOL_ARK_60K</t>
        </is>
      </c>
      <c r="C45" t="inlineStr">
        <is>
          <t>HF_GEN</t>
        </is>
      </c>
      <c r="D45" t="n">
        <v>0.3083</v>
      </c>
      <c r="E45" t="inlineStr">
        <is>
          <t>kW</t>
        </is>
      </c>
      <c r="F45" t="inlineStr">
        <is>
          <t>study</t>
        </is>
      </c>
    </row>
    <row r="46">
      <c r="A46" t="inlineStr">
        <is>
          <t>SF-POLY_F</t>
        </is>
      </c>
      <c r="B46" t="inlineStr">
        <is>
          <t>SOL_ARK_60K</t>
        </is>
      </c>
      <c r="C46" t="inlineStr">
        <is>
          <t>POLY_F</t>
        </is>
      </c>
      <c r="D46" t="n">
        <v>0.0449</v>
      </c>
      <c r="E46" t="inlineStr">
        <is>
          <t>kW</t>
        </is>
      </c>
      <c r="F46" t="inlineStr">
        <is>
          <t>study</t>
        </is>
      </c>
    </row>
    <row r="47">
      <c r="A47" t="inlineStr">
        <is>
          <t>SF-POWDER_RESIN</t>
        </is>
      </c>
      <c r="B47" t="inlineStr">
        <is>
          <t>SOL_ARK_60K</t>
        </is>
      </c>
      <c r="C47" t="inlineStr">
        <is>
          <t>POWDER_RESIN</t>
        </is>
      </c>
      <c r="D47" t="n">
        <v>0.0152</v>
      </c>
      <c r="E47" t="inlineStr">
        <is>
          <t>kW</t>
        </is>
      </c>
      <c r="F47" t="inlineStr">
        <is>
          <t>study</t>
        </is>
      </c>
    </row>
    <row r="48">
      <c r="A48" t="inlineStr">
        <is>
          <t>SF-TFE_SYN</t>
        </is>
      </c>
      <c r="B48" t="inlineStr">
        <is>
          <t>SOL_ARK_60K</t>
        </is>
      </c>
      <c r="C48" t="inlineStr">
        <is>
          <t>TFE_SYN</t>
        </is>
      </c>
      <c r="D48" t="n">
        <v>0.3989</v>
      </c>
      <c r="E48" t="inlineStr">
        <is>
          <t>kW</t>
        </is>
      </c>
      <c r="F48" t="inlineStr">
        <is>
          <t>study</t>
        </is>
      </c>
    </row>
    <row r="49">
      <c r="A49" t="inlineStr">
        <is>
          <t>SF-VDF_SYN</t>
        </is>
      </c>
      <c r="B49" t="inlineStr">
        <is>
          <t>SOL_ARK_60K</t>
        </is>
      </c>
      <c r="C49" t="inlineStr">
        <is>
          <t>VDF_SYN</t>
        </is>
      </c>
      <c r="D49" t="n">
        <v>0.5128</v>
      </c>
      <c r="E49" t="inlineStr">
        <is>
          <t>kW</t>
        </is>
      </c>
      <c r="F49" t="inlineStr">
        <is>
          <t>study</t>
        </is>
      </c>
    </row>
    <row r="50">
      <c r="A50" t="inlineStr">
        <is>
          <t>TFE_HCL_TO_CRU</t>
        </is>
      </c>
      <c r="B50" t="inlineStr">
        <is>
          <t>TFE_SYN</t>
        </is>
      </c>
      <c r="C50" t="inlineStr">
        <is>
          <t>CRU</t>
        </is>
      </c>
      <c r="D50" t="n">
        <v>0.327654</v>
      </c>
      <c r="E50" t="inlineStr">
        <is>
          <t>kg/d</t>
        </is>
      </c>
      <c r="F50" t="inlineStr">
        <is>
          <t>study</t>
        </is>
      </c>
    </row>
    <row r="51">
      <c r="A51" t="inlineStr">
        <is>
          <t>TFE_TO_POLY_F</t>
        </is>
      </c>
      <c r="B51" t="inlineStr">
        <is>
          <t>TFE_SYN</t>
        </is>
      </c>
      <c r="C51" t="inlineStr">
        <is>
          <t>POLY_F</t>
        </is>
      </c>
      <c r="D51" t="n">
        <v>0.1</v>
      </c>
      <c r="E51" t="inlineStr">
        <is>
          <t>kg/d</t>
        </is>
      </c>
      <c r="F51" t="inlineStr">
        <is>
          <t>study</t>
        </is>
      </c>
    </row>
    <row r="52">
      <c r="A52" t="inlineStr">
        <is>
          <t>VDF_HCL_TO_CRU</t>
        </is>
      </c>
      <c r="B52" t="inlineStr">
        <is>
          <t>VDF_SYN</t>
        </is>
      </c>
      <c r="C52" t="inlineStr">
        <is>
          <t>CRU</t>
        </is>
      </c>
      <c r="D52" t="n">
        <v>0.42605</v>
      </c>
      <c r="E52" t="inlineStr">
        <is>
          <t>kg/d</t>
        </is>
      </c>
      <c r="F52" t="inlineStr">
        <is>
          <t>study</t>
        </is>
      </c>
    </row>
    <row r="53">
      <c r="A53" t="inlineStr">
        <is>
          <t>VDF_TO_POLY_F</t>
        </is>
      </c>
      <c r="B53" t="inlineStr">
        <is>
          <t>VDF_SYN</t>
        </is>
      </c>
      <c r="C53" t="inlineStr">
        <is>
          <t>POLY_F</t>
        </is>
      </c>
      <c r="D53" t="n">
        <v>0.15</v>
      </c>
      <c r="E53" t="inlineStr">
        <is>
          <t>kg/d</t>
        </is>
      </c>
      <c r="F53" t="inlineStr">
        <is>
          <t>study</t>
        </is>
      </c>
    </row>
  </sheetData>
  <autoFilter ref="A1:H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8" customWidth="1" min="3" max="3"/>
    <col width="10" customWidth="1" min="4" max="4"/>
    <col width="12" customWidth="1" min="5" max="5"/>
    <col width="16" customWidth="1" min="6" max="6"/>
    <col width="9" customWidth="1" min="7" max="7"/>
    <col width="13" customWidth="1" min="8" max="8"/>
  </cols>
  <sheetData>
    <row r="1">
      <c r="A1" s="3" t="inlineStr">
        <is>
          <t>unit_id</t>
        </is>
      </c>
      <c r="B1" s="3" t="inlineStr">
        <is>
          <t>continuous_kw</t>
        </is>
      </c>
      <c r="C1" s="3" t="inlineStr">
        <is>
          <t>kw_unit</t>
        </is>
      </c>
      <c r="D1" s="3" t="inlineStr">
        <is>
          <t>kw_status</t>
        </is>
      </c>
      <c r="E1" s="3" t="inlineStr">
        <is>
          <t>presence</t>
        </is>
      </c>
      <c r="F1" s="3" t="inlineStr">
        <is>
          <t>class</t>
        </is>
      </c>
      <c r="G1" s="3" t="inlineStr">
        <is>
          <t>enabled</t>
        </is>
      </c>
      <c r="H1" s="3" t="inlineStr">
        <is>
          <t>graph_sector</t>
        </is>
      </c>
    </row>
    <row r="2">
      <c r="A2" t="inlineStr">
        <is>
          <t>ACID_POLISH_SCRUB</t>
        </is>
      </c>
      <c r="B2" s="8" t="n">
        <v>1.1123</v>
      </c>
      <c r="C2" t="inlineStr">
        <is>
          <t>kW</t>
        </is>
      </c>
      <c r="D2" t="inlineStr">
        <is>
          <t>study</t>
        </is>
      </c>
      <c r="E2" t="inlineStr">
        <is>
          <t>present</t>
        </is>
      </c>
      <c r="F2" t="inlineStr">
        <is>
          <t>scrubber</t>
        </is>
      </c>
      <c r="G2" t="b">
        <v>1</v>
      </c>
      <c r="H2" t="inlineStr">
        <is>
          <t>GAS</t>
        </is>
      </c>
    </row>
    <row r="3">
      <c r="A3" t="inlineStr">
        <is>
          <t>AFTERBURNER_FLUE</t>
        </is>
      </c>
      <c r="E3" t="inlineStr">
        <is>
          <t>present</t>
        </is>
      </c>
      <c r="F3" t="inlineStr">
        <is>
          <t>flue_junction</t>
        </is>
      </c>
      <c r="G3" t="b">
        <v>1</v>
      </c>
      <c r="H3" t="inlineStr">
        <is>
          <t>GAS</t>
        </is>
      </c>
    </row>
    <row r="4">
      <c r="A4" t="inlineStr">
        <is>
          <t>ALK_SCRUBBER</t>
        </is>
      </c>
      <c r="B4" s="8" t="n">
        <v>1.1123</v>
      </c>
      <c r="C4" t="inlineStr">
        <is>
          <t>kW</t>
        </is>
      </c>
      <c r="D4" t="inlineStr">
        <is>
          <t>study</t>
        </is>
      </c>
      <c r="E4" t="inlineStr">
        <is>
          <t>present</t>
        </is>
      </c>
      <c r="F4" t="inlineStr">
        <is>
          <t>scrubber</t>
        </is>
      </c>
      <c r="G4" t="b">
        <v>1</v>
      </c>
      <c r="H4" t="inlineStr">
        <is>
          <t>GAS</t>
        </is>
      </c>
    </row>
    <row r="5">
      <c r="A5" t="inlineStr">
        <is>
          <t>BAGHOUSE</t>
        </is>
      </c>
      <c r="E5" t="inlineStr">
        <is>
          <t>present</t>
        </is>
      </c>
      <c r="F5" t="inlineStr">
        <is>
          <t>baghouse</t>
        </is>
      </c>
      <c r="G5" t="b">
        <v>1</v>
      </c>
      <c r="H5" t="inlineStr">
        <is>
          <t>GAS</t>
        </is>
      </c>
    </row>
    <row r="6">
      <c r="A6" t="inlineStr">
        <is>
          <t>FLUE_KO</t>
        </is>
      </c>
      <c r="E6" t="inlineStr">
        <is>
          <t>present</t>
        </is>
      </c>
      <c r="F6" t="inlineStr">
        <is>
          <t>separator</t>
        </is>
      </c>
      <c r="G6" t="b">
        <v>1</v>
      </c>
      <c r="H6" t="inlineStr">
        <is>
          <t>GAS</t>
        </is>
      </c>
    </row>
    <row r="7">
      <c r="A7" t="inlineStr">
        <is>
          <t>H2_DRYER</t>
        </is>
      </c>
      <c r="B7" s="8" t="n">
        <v>0.0205</v>
      </c>
      <c r="C7" t="inlineStr">
        <is>
          <t>kW</t>
        </is>
      </c>
      <c r="D7" t="inlineStr">
        <is>
          <t>study</t>
        </is>
      </c>
      <c r="E7" t="inlineStr">
        <is>
          <t>present</t>
        </is>
      </c>
      <c r="F7" t="inlineStr">
        <is>
          <t>dryer</t>
        </is>
      </c>
      <c r="G7" t="b">
        <v>1</v>
      </c>
      <c r="H7" t="inlineStr">
        <is>
          <t>GAS</t>
        </is>
      </c>
    </row>
    <row r="8">
      <c r="A8" t="inlineStr">
        <is>
          <t>HDR_H2</t>
        </is>
      </c>
      <c r="E8" t="inlineStr">
        <is>
          <t>present</t>
        </is>
      </c>
      <c r="F8" t="inlineStr">
        <is>
          <t>header</t>
        </is>
      </c>
      <c r="G8" t="b">
        <v>1</v>
      </c>
      <c r="H8" t="inlineStr">
        <is>
          <t>GAS</t>
        </is>
      </c>
    </row>
    <row r="9">
      <c r="A9" t="inlineStr">
        <is>
          <t>HDR_O2</t>
        </is>
      </c>
      <c r="E9" t="inlineStr">
        <is>
          <t>present</t>
        </is>
      </c>
      <c r="F9" t="inlineStr">
        <is>
          <t>header</t>
        </is>
      </c>
      <c r="G9" t="b">
        <v>1</v>
      </c>
      <c r="H9" t="inlineStr">
        <is>
          <t>GAS</t>
        </is>
      </c>
    </row>
    <row r="10">
      <c r="A10" t="inlineStr">
        <is>
          <t>NOX_SCRUB</t>
        </is>
      </c>
      <c r="B10" s="8" t="n">
        <v>0.0385</v>
      </c>
      <c r="C10" t="inlineStr">
        <is>
          <t>kW</t>
        </is>
      </c>
      <c r="D10" t="inlineStr">
        <is>
          <t>study</t>
        </is>
      </c>
      <c r="E10" t="inlineStr">
        <is>
          <t>present</t>
        </is>
      </c>
      <c r="F10" t="inlineStr">
        <is>
          <t>scrubber</t>
        </is>
      </c>
      <c r="G10" t="b">
        <v>1</v>
      </c>
      <c r="H10" t="inlineStr">
        <is>
          <t>GAS</t>
        </is>
      </c>
    </row>
    <row r="11">
      <c r="A11" t="inlineStr">
        <is>
          <t>RELIEF_H2</t>
        </is>
      </c>
      <c r="E11" t="inlineStr">
        <is>
          <t>present</t>
        </is>
      </c>
      <c r="F11" t="inlineStr">
        <is>
          <t>relief</t>
        </is>
      </c>
      <c r="G11" t="b">
        <v>1</v>
      </c>
      <c r="H11" t="inlineStr">
        <is>
          <t>GAS</t>
        </is>
      </c>
    </row>
    <row r="13">
      <c r="A13" s="1" t="inlineStr">
        <is>
          <t>SUBTOTAL continuous kW (SUM)</t>
        </is>
      </c>
      <c r="B13" s="10">
        <f>SUM(B2:B11)</f>
        <v/>
      </c>
    </row>
    <row r="15">
      <c r="A15" s="9" t="inlineStr">
        <is>
          <t>EDGES TOUCHING THIS SECTOR (from or to)</t>
        </is>
      </c>
    </row>
    <row r="16">
      <c r="A16" s="3" t="inlineStr">
        <is>
          <t>stream_id</t>
        </is>
      </c>
      <c r="B16" s="3" t="inlineStr">
        <is>
          <t>from_unit</t>
        </is>
      </c>
      <c r="C16" s="3" t="inlineStr">
        <is>
          <t>to_unit</t>
        </is>
      </c>
      <c r="D16" s="3" t="inlineStr">
        <is>
          <t>rate</t>
        </is>
      </c>
      <c r="E16" s="3" t="inlineStr">
        <is>
          <t>unit</t>
        </is>
      </c>
      <c r="F16" s="3" t="inlineStr">
        <is>
          <t>status</t>
        </is>
      </c>
    </row>
    <row r="17">
      <c r="A17" t="inlineStr">
        <is>
          <t>IA-AB-AIR</t>
        </is>
      </c>
      <c r="B17" t="inlineStr">
        <is>
          <t>HDR_N2</t>
        </is>
      </c>
      <c r="C17" t="inlineStr">
        <is>
          <t>AFTERBURNER_FLUE</t>
        </is>
      </c>
      <c r="D17" t="n">
        <v>110.330712</v>
      </c>
      <c r="E17" t="inlineStr">
        <is>
          <t>kg/d</t>
        </is>
      </c>
      <c r="F17" t="inlineStr">
        <is>
          <t>study</t>
        </is>
      </c>
    </row>
    <row r="18">
      <c r="A18" t="inlineStr">
        <is>
          <t>IA-AB-FLUE</t>
        </is>
      </c>
      <c r="B18" t="inlineStr">
        <is>
          <t>AFTERBURNER</t>
        </is>
      </c>
      <c r="C18" t="inlineStr">
        <is>
          <t>AFTERBURNER_FLUE</t>
        </is>
      </c>
      <c r="D18" t="n">
        <v>7.096878</v>
      </c>
      <c r="E18" t="inlineStr">
        <is>
          <t>kg/d</t>
        </is>
      </c>
      <c r="F18" t="inlineStr">
        <is>
          <t>study</t>
        </is>
      </c>
    </row>
    <row r="19">
      <c r="A19" t="inlineStr">
        <is>
          <t>IA-AB-O2</t>
        </is>
      </c>
      <c r="B19" t="inlineStr">
        <is>
          <t>HDR_O2</t>
        </is>
      </c>
      <c r="C19" t="inlineStr">
        <is>
          <t>AFTERBURNER</t>
        </is>
      </c>
      <c r="D19" t="n">
        <v>0.528278</v>
      </c>
      <c r="E19" t="inlineStr">
        <is>
          <t>kg/d</t>
        </is>
      </c>
      <c r="F19" t="inlineStr">
        <is>
          <t>study</t>
        </is>
      </c>
    </row>
    <row r="20">
      <c r="A20" t="inlineStr">
        <is>
          <t>IA-ACID-AIR-RET</t>
        </is>
      </c>
      <c r="B20" t="inlineStr">
        <is>
          <t>ACID_POLISH_SCRUB</t>
        </is>
      </c>
      <c r="C20" t="inlineStr">
        <is>
          <t>ALK_SCRUBBER</t>
        </is>
      </c>
      <c r="D20" t="n">
        <v>37509.8254</v>
      </c>
      <c r="E20" t="inlineStr">
        <is>
          <t>kg/d</t>
        </is>
      </c>
      <c r="F20" t="inlineStr">
        <is>
          <t>study</t>
        </is>
      </c>
    </row>
    <row r="21">
      <c r="A21" t="inlineStr">
        <is>
          <t>IA-BAG-01</t>
        </is>
      </c>
      <c r="B21" t="inlineStr">
        <is>
          <t>BAGHOUSE</t>
        </is>
      </c>
      <c r="C21" t="inlineStr">
        <is>
          <t>LEACH_CSTR_1</t>
        </is>
      </c>
      <c r="D21" t="n">
        <v>7.77</v>
      </c>
      <c r="E21" t="inlineStr">
        <is>
          <t>kg/d</t>
        </is>
      </c>
      <c r="F21" t="inlineStr">
        <is>
          <t>study</t>
        </is>
      </c>
    </row>
    <row r="22">
      <c r="A22" t="inlineStr">
        <is>
          <t>IA-CLOSE-1</t>
        </is>
      </c>
      <c r="B22" t="inlineStr">
        <is>
          <t>LEACH_CSTR_1</t>
        </is>
      </c>
      <c r="C22" t="inlineStr">
        <is>
          <t>NOX_SCRUB</t>
        </is>
      </c>
      <c r="D22" t="n">
        <v>1</v>
      </c>
      <c r="E22" t="inlineStr">
        <is>
          <t>kg/d</t>
        </is>
      </c>
      <c r="F22" t="inlineStr">
        <is>
          <t>study</t>
        </is>
      </c>
    </row>
    <row r="23">
      <c r="A23" t="inlineStr">
        <is>
          <t>IA-EW1-H2</t>
        </is>
      </c>
      <c r="B23" t="inlineStr">
        <is>
          <t>EW_1</t>
        </is>
      </c>
      <c r="C23" t="inlineStr">
        <is>
          <t>HDR_H2</t>
        </is>
      </c>
      <c r="D23" t="n">
        <v>0</v>
      </c>
      <c r="E23" t="inlineStr">
        <is>
          <t>kg/d</t>
        </is>
      </c>
      <c r="F23" t="inlineStr">
        <is>
          <t>study</t>
        </is>
      </c>
    </row>
    <row r="24">
      <c r="A24" t="inlineStr">
        <is>
          <t>IA-EW2-H2</t>
        </is>
      </c>
      <c r="B24" t="inlineStr">
        <is>
          <t>EW_2</t>
        </is>
      </c>
      <c r="C24" t="inlineStr">
        <is>
          <t>HDR_H2</t>
        </is>
      </c>
      <c r="D24" t="n">
        <v>0</v>
      </c>
      <c r="E24" t="inlineStr">
        <is>
          <t>kg/d</t>
        </is>
      </c>
      <c r="F24" t="inlineStr">
        <is>
          <t>study</t>
        </is>
      </c>
    </row>
    <row r="25">
      <c r="A25" t="inlineStr">
        <is>
          <t>IA-EW4-H2</t>
        </is>
      </c>
      <c r="B25" t="inlineStr">
        <is>
          <t>EW_4</t>
        </is>
      </c>
      <c r="C25" t="inlineStr">
        <is>
          <t>HDR_H2</t>
        </is>
      </c>
      <c r="D25" t="n">
        <v>0.030994</v>
      </c>
      <c r="E25" t="inlineStr">
        <is>
          <t>kg/d</t>
        </is>
      </c>
      <c r="F25" t="inlineStr">
        <is>
          <t>study</t>
        </is>
      </c>
    </row>
    <row r="26">
      <c r="A26" t="inlineStr">
        <is>
          <t>IA-FAB-LOSS</t>
        </is>
      </c>
      <c r="B26" t="inlineStr">
        <is>
          <t>WAFER_FAB</t>
        </is>
      </c>
      <c r="C26" t="inlineStr">
        <is>
          <t>BAGHOUSE</t>
        </is>
      </c>
      <c r="D26" t="n">
        <v>0.51</v>
      </c>
      <c r="E26" t="inlineStr">
        <is>
          <t>kg/d</t>
        </is>
      </c>
      <c r="F26" t="inlineStr">
        <is>
          <t>study</t>
        </is>
      </c>
    </row>
    <row r="27">
      <c r="A27" t="inlineStr">
        <is>
          <t>IA-FC-AIR</t>
        </is>
      </c>
      <c r="B27" t="inlineStr">
        <is>
          <t>HDR_O2</t>
        </is>
      </c>
      <c r="C27" t="inlineStr">
        <is>
          <t>MEOH_FC</t>
        </is>
      </c>
      <c r="D27" t="n">
        <v>9.407064</v>
      </c>
      <c r="E27" t="inlineStr">
        <is>
          <t>kg/d</t>
        </is>
      </c>
      <c r="F27" t="inlineStr">
        <is>
          <t>study</t>
        </is>
      </c>
    </row>
    <row r="28">
      <c r="A28" t="inlineStr">
        <is>
          <t>IA-FC-EXH</t>
        </is>
      </c>
      <c r="B28" t="inlineStr">
        <is>
          <t>MEOH_FC</t>
        </is>
      </c>
      <c r="C28" t="inlineStr">
        <is>
          <t>NOX_SCRUB</t>
        </is>
      </c>
      <c r="D28" t="n">
        <v>0</v>
      </c>
      <c r="E28" t="inlineStr">
        <is>
          <t>kg/d</t>
        </is>
      </c>
      <c r="F28" t="inlineStr">
        <is>
          <t>study</t>
        </is>
      </c>
    </row>
    <row r="29">
      <c r="A29" t="inlineStr">
        <is>
          <t>IA-FC-FIX</t>
        </is>
      </c>
      <c r="B29" t="inlineStr">
        <is>
          <t>FUEL_CELL</t>
        </is>
      </c>
      <c r="C29" t="inlineStr">
        <is>
          <t>NOX_SCRUB</t>
        </is>
      </c>
      <c r="D29" t="n">
        <v>0</v>
      </c>
      <c r="E29" t="inlineStr">
        <is>
          <t>kg/d</t>
        </is>
      </c>
      <c r="F29" t="inlineStr">
        <is>
          <t>study</t>
        </is>
      </c>
    </row>
    <row r="30">
      <c r="A30" t="inlineStr">
        <is>
          <t>IA-FLUE-EXH</t>
        </is>
      </c>
      <c r="B30" t="inlineStr">
        <is>
          <t>FLUE_KO</t>
        </is>
      </c>
      <c r="C30" t="inlineStr">
        <is>
          <t>NOX_SCRUB</t>
        </is>
      </c>
      <c r="D30" t="n">
        <v>263.641098</v>
      </c>
      <c r="E30" t="inlineStr">
        <is>
          <t>kg/d</t>
        </is>
      </c>
      <c r="F30" t="inlineStr">
        <is>
          <t>study</t>
        </is>
      </c>
    </row>
    <row r="31">
      <c r="A31" t="inlineStr">
        <is>
          <t>IA-FLUE-QUENCH</t>
        </is>
      </c>
      <c r="B31" t="inlineStr">
        <is>
          <t>ROOF_TANK</t>
        </is>
      </c>
      <c r="C31" t="inlineStr">
        <is>
          <t>FLUE_KO</t>
        </is>
      </c>
      <c r="D31" t="n">
        <v>24.31</v>
      </c>
      <c r="E31" t="inlineStr">
        <is>
          <t>kg/d</t>
        </is>
      </c>
      <c r="F31" t="inlineStr">
        <is>
          <t>study</t>
        </is>
      </c>
    </row>
    <row r="32">
      <c r="A32" t="inlineStr">
        <is>
          <t>IA-GEN-O2</t>
        </is>
      </c>
      <c r="B32" t="inlineStr">
        <is>
          <t>HDR_O2</t>
        </is>
      </c>
      <c r="C32" t="inlineStr">
        <is>
          <t>BACKUP_GEN</t>
        </is>
      </c>
      <c r="D32" t="n">
        <v>0.207942</v>
      </c>
      <c r="E32" t="inlineStr">
        <is>
          <t>kg/d</t>
        </is>
      </c>
      <c r="F32" t="inlineStr">
        <is>
          <t>study</t>
        </is>
      </c>
    </row>
    <row r="33">
      <c r="A33" t="inlineStr">
        <is>
          <t>IA-H2-AIR</t>
        </is>
      </c>
      <c r="B33" t="inlineStr">
        <is>
          <t>H2_DRYER</t>
        </is>
      </c>
      <c r="C33" t="inlineStr">
        <is>
          <t>CRYO_ASU</t>
        </is>
      </c>
      <c r="D33" t="n">
        <v>0</v>
      </c>
      <c r="E33" t="inlineStr">
        <is>
          <t>kg/d</t>
        </is>
      </c>
      <c r="F33" t="inlineStr">
        <is>
          <t>study</t>
        </is>
      </c>
    </row>
    <row r="34">
      <c r="A34" t="inlineStr">
        <is>
          <t>IA-H2-IN</t>
        </is>
      </c>
      <c r="B34" t="inlineStr">
        <is>
          <t>H2_DRYER</t>
        </is>
      </c>
      <c r="C34" t="inlineStr">
        <is>
          <t>HDR_H2</t>
        </is>
      </c>
      <c r="D34" t="n">
        <v>0</v>
      </c>
      <c r="E34" t="inlineStr">
        <is>
          <t>kg/d</t>
        </is>
      </c>
      <c r="F34" t="inlineStr">
        <is>
          <t>study</t>
        </is>
      </c>
    </row>
    <row r="35">
      <c r="A35" t="inlineStr">
        <is>
          <t>IA-H2O2-SRC</t>
        </is>
      </c>
      <c r="B35" t="inlineStr">
        <is>
          <t>HDR_O2</t>
        </is>
      </c>
      <c r="C35" t="inlineStr">
        <is>
          <t>WS_PEROX</t>
        </is>
      </c>
      <c r="D35" t="n">
        <v>0.176</v>
      </c>
      <c r="E35" t="inlineStr">
        <is>
          <t>kg/d</t>
        </is>
      </c>
      <c r="F35" t="inlineStr">
        <is>
          <t>study</t>
        </is>
      </c>
    </row>
    <row r="36">
      <c r="A36" t="inlineStr">
        <is>
          <t>IA-H2P-H2O</t>
        </is>
      </c>
      <c r="B36" t="inlineStr">
        <is>
          <t>H2_DRYER</t>
        </is>
      </c>
      <c r="C36" t="inlineStr">
        <is>
          <t>VCD_TRAIN</t>
        </is>
      </c>
      <c r="D36" t="n">
        <v>0</v>
      </c>
      <c r="E36" t="inlineStr">
        <is>
          <t>kg/d</t>
        </is>
      </c>
      <c r="F36" t="inlineStr">
        <is>
          <t>study</t>
        </is>
      </c>
    </row>
    <row r="37">
      <c r="A37" t="inlineStr">
        <is>
          <t>IA-HDR-H2-01</t>
        </is>
      </c>
      <c r="B37" t="inlineStr">
        <is>
          <t>EW_1</t>
        </is>
      </c>
      <c r="C37" t="inlineStr">
        <is>
          <t>HDR_H2</t>
        </is>
      </c>
      <c r="D37" t="n">
        <v>0.382615</v>
      </c>
      <c r="E37" t="inlineStr">
        <is>
          <t>kg/d</t>
        </is>
      </c>
      <c r="F37" t="inlineStr">
        <is>
          <t>study</t>
        </is>
      </c>
    </row>
    <row r="38">
      <c r="A38" t="inlineStr">
        <is>
          <t>IA-HDR-H2-02</t>
        </is>
      </c>
      <c r="B38" t="inlineStr">
        <is>
          <t>HDR_H2</t>
        </is>
      </c>
      <c r="C38" t="inlineStr">
        <is>
          <t>H2_DRYER</t>
        </is>
      </c>
      <c r="D38" t="n">
        <v>1.975408</v>
      </c>
      <c r="E38" t="inlineStr">
        <is>
          <t>kg/d</t>
        </is>
      </c>
      <c r="F38" t="inlineStr">
        <is>
          <t>study</t>
        </is>
      </c>
    </row>
    <row r="39">
      <c r="A39" t="inlineStr">
        <is>
          <t>IA-HDR-H2-03</t>
        </is>
      </c>
      <c r="B39" t="inlineStr">
        <is>
          <t>EW_2</t>
        </is>
      </c>
      <c r="C39" t="inlineStr">
        <is>
          <t>HDR_H2</t>
        </is>
      </c>
      <c r="D39" t="n">
        <v>0.382743</v>
      </c>
      <c r="E39" t="inlineStr">
        <is>
          <t>kg/d</t>
        </is>
      </c>
      <c r="F39" t="inlineStr">
        <is>
          <t>study</t>
        </is>
      </c>
    </row>
    <row r="40">
      <c r="A40" t="inlineStr">
        <is>
          <t>IA-HDR-H2-04</t>
        </is>
      </c>
      <c r="B40" t="inlineStr">
        <is>
          <t>EW_9</t>
        </is>
      </c>
      <c r="C40" t="inlineStr">
        <is>
          <t>HDR_H2</t>
        </is>
      </c>
      <c r="D40" t="n">
        <v>0.481422</v>
      </c>
      <c r="E40" t="inlineStr">
        <is>
          <t>kg/d</t>
        </is>
      </c>
      <c r="F40" t="inlineStr">
        <is>
          <t>study</t>
        </is>
      </c>
    </row>
    <row r="41">
      <c r="A41" t="inlineStr">
        <is>
          <t>IA-LEACH-FLUE</t>
        </is>
      </c>
      <c r="B41" t="inlineStr">
        <is>
          <t>LEACH_CSTR_1</t>
        </is>
      </c>
      <c r="C41" t="inlineStr">
        <is>
          <t>FLUE_KO</t>
        </is>
      </c>
      <c r="D41" t="n">
        <v>135.9019</v>
      </c>
      <c r="E41" t="inlineStr">
        <is>
          <t>kg/d</t>
        </is>
      </c>
      <c r="F41" t="inlineStr">
        <is>
          <t>study</t>
        </is>
      </c>
    </row>
    <row r="42">
      <c r="A42" t="inlineStr">
        <is>
          <t>IA-LEACH-H2</t>
        </is>
      </c>
      <c r="B42" t="inlineStr">
        <is>
          <t>LEACH_CSTR_1</t>
        </is>
      </c>
      <c r="C42" t="inlineStr">
        <is>
          <t>HDR_H2</t>
        </is>
      </c>
      <c r="D42" t="n">
        <v>0</v>
      </c>
      <c r="E42" t="inlineStr">
        <is>
          <t>kg/d</t>
        </is>
      </c>
      <c r="F42" t="inlineStr">
        <is>
          <t>study</t>
        </is>
      </c>
    </row>
    <row r="43">
      <c r="A43" t="inlineStr">
        <is>
          <t>IA-LEACH-NOX</t>
        </is>
      </c>
      <c r="B43" t="inlineStr">
        <is>
          <t>LEACH_CSTR_1</t>
        </is>
      </c>
      <c r="C43" t="inlineStr">
        <is>
          <t>NOX_SCRUB</t>
        </is>
      </c>
      <c r="D43" t="n">
        <v>195.024701</v>
      </c>
      <c r="E43" t="inlineStr">
        <is>
          <t>kg/d</t>
        </is>
      </c>
      <c r="F43" t="inlineStr">
        <is>
          <t>study</t>
        </is>
      </c>
    </row>
    <row r="44">
      <c r="A44" t="inlineStr">
        <is>
          <t>IA-MILL-LOSS</t>
        </is>
      </c>
      <c r="B44" t="inlineStr">
        <is>
          <t>GLASS_MILL</t>
        </is>
      </c>
      <c r="C44" t="inlineStr">
        <is>
          <t>BAGHOUSE</t>
        </is>
      </c>
      <c r="D44" t="n">
        <v>6.82</v>
      </c>
      <c r="E44" t="inlineStr">
        <is>
          <t>kg/d</t>
        </is>
      </c>
      <c r="F44" t="inlineStr">
        <is>
          <t>study</t>
        </is>
      </c>
    </row>
    <row r="45">
      <c r="A45" t="inlineStr">
        <is>
          <t>IA-NIT-VENT</t>
        </is>
      </c>
      <c r="B45" t="inlineStr">
        <is>
          <t>WS_NITRIC</t>
        </is>
      </c>
      <c r="C45" t="inlineStr">
        <is>
          <t>NOX_SCRUB</t>
        </is>
      </c>
      <c r="D45" t="n">
        <v>0</v>
      </c>
      <c r="E45" t="inlineStr">
        <is>
          <t>kg/d</t>
        </is>
      </c>
      <c r="F45" t="inlineStr">
        <is>
          <t>study</t>
        </is>
      </c>
    </row>
    <row r="46">
      <c r="A46" t="inlineStr">
        <is>
          <t>IA-NOX-CO2</t>
        </is>
      </c>
      <c r="B46" t="inlineStr">
        <is>
          <t>NOX_SCRUB</t>
        </is>
      </c>
      <c r="C46" t="inlineStr">
        <is>
          <t>CRYO_ASU</t>
        </is>
      </c>
      <c r="D46" t="n">
        <v>21.747426</v>
      </c>
      <c r="E46" t="inlineStr">
        <is>
          <t>kg/d</t>
        </is>
      </c>
      <c r="F46" t="inlineStr">
        <is>
          <t>study</t>
        </is>
      </c>
    </row>
    <row r="47">
      <c r="A47" t="inlineStr">
        <is>
          <t>IA-NOX-H2O</t>
        </is>
      </c>
      <c r="B47" t="inlineStr">
        <is>
          <t>NOX_SCRUB</t>
        </is>
      </c>
      <c r="C47" t="inlineStr">
        <is>
          <t>ROOF_TANK</t>
        </is>
      </c>
      <c r="D47" t="n">
        <v>221.48381</v>
      </c>
      <c r="E47" t="inlineStr">
        <is>
          <t>kg/d</t>
        </is>
      </c>
      <c r="F47" t="inlineStr">
        <is>
          <t>study</t>
        </is>
      </c>
    </row>
    <row r="48">
      <c r="A48" t="inlineStr">
        <is>
          <t>IA-NOX-N</t>
        </is>
      </c>
      <c r="B48" t="inlineStr">
        <is>
          <t>NOX_SCRUB</t>
        </is>
      </c>
      <c r="C48" t="inlineStr">
        <is>
          <t>NUTRIENT_DOSE</t>
        </is>
      </c>
      <c r="D48" t="n">
        <v>20.047016</v>
      </c>
      <c r="E48" t="inlineStr">
        <is>
          <t>kg/d</t>
        </is>
      </c>
      <c r="F48" t="inlineStr">
        <is>
          <t>study</t>
        </is>
      </c>
    </row>
    <row r="49">
      <c r="A49" t="inlineStr">
        <is>
          <t>IA-NOX-N2</t>
        </is>
      </c>
      <c r="B49" t="inlineStr">
        <is>
          <t>NOX_SCRUB</t>
        </is>
      </c>
      <c r="C49" t="inlineStr">
        <is>
          <t>CRYO_ASU</t>
        </is>
      </c>
      <c r="D49" t="n">
        <v>196.655522</v>
      </c>
      <c r="E49" t="inlineStr">
        <is>
          <t>kg/d</t>
        </is>
      </c>
      <c r="F49" t="inlineStr">
        <is>
          <t>study</t>
        </is>
      </c>
    </row>
    <row r="50">
      <c r="A50" t="inlineStr">
        <is>
          <t>IA-O2-MAKE</t>
        </is>
      </c>
      <c r="B50" t="inlineStr">
        <is>
          <t>CRYO_O2</t>
        </is>
      </c>
      <c r="C50" t="inlineStr">
        <is>
          <t>HDR_O2</t>
        </is>
      </c>
      <c r="D50" t="n">
        <v>0</v>
      </c>
      <c r="E50" t="inlineStr">
        <is>
          <t>kg/d</t>
        </is>
      </c>
      <c r="F50" t="inlineStr">
        <is>
          <t>study</t>
        </is>
      </c>
    </row>
    <row r="51">
      <c r="A51" t="inlineStr">
        <is>
          <t>IA-O2-PROD</t>
        </is>
      </c>
      <c r="B51" t="inlineStr">
        <is>
          <t>HDR_O2</t>
        </is>
      </c>
      <c r="C51" t="inlineStr">
        <is>
          <t>PROD_O2</t>
        </is>
      </c>
      <c r="D51" t="n">
        <v>22.876217</v>
      </c>
      <c r="E51" t="inlineStr">
        <is>
          <t>kg/d</t>
        </is>
      </c>
      <c r="F51" t="inlineStr">
        <is>
          <t>study</t>
        </is>
      </c>
    </row>
    <row r="52">
      <c r="A52" t="inlineStr">
        <is>
          <t>IA-O2-RET</t>
        </is>
      </c>
      <c r="B52" t="inlineStr">
        <is>
          <t>HDR_O2</t>
        </is>
      </c>
      <c r="C52" t="inlineStr">
        <is>
          <t>CRYO_ASU</t>
        </is>
      </c>
      <c r="D52" t="n">
        <v>0</v>
      </c>
      <c r="E52" t="inlineStr">
        <is>
          <t>kg/d</t>
        </is>
      </c>
      <c r="F52" t="inlineStr">
        <is>
          <t>study</t>
        </is>
      </c>
    </row>
    <row r="53">
      <c r="A53" t="inlineStr">
        <is>
          <t>IA-SCRUB-SRC</t>
        </is>
      </c>
      <c r="B53" t="inlineStr">
        <is>
          <t>LEACH_CSTR_1</t>
        </is>
      </c>
      <c r="C53" t="inlineStr">
        <is>
          <t>ACID_POLISH_SCRUB</t>
        </is>
      </c>
      <c r="D53" t="n">
        <v>27.342833</v>
      </c>
      <c r="E53" t="inlineStr">
        <is>
          <t>kg/d</t>
        </is>
      </c>
      <c r="F53" t="inlineStr">
        <is>
          <t>study</t>
        </is>
      </c>
    </row>
    <row r="54">
      <c r="A54" t="inlineStr">
        <is>
          <t>IA-VS-OFF</t>
        </is>
      </c>
      <c r="B54" t="inlineStr">
        <is>
          <t>EVAP_ACID_VS</t>
        </is>
      </c>
      <c r="C54" t="inlineStr">
        <is>
          <t>ALK_SCRUBBER</t>
        </is>
      </c>
      <c r="D54" t="n">
        <v>0.0292</v>
      </c>
      <c r="E54" t="inlineStr">
        <is>
          <t>kg/d</t>
        </is>
      </c>
      <c r="F54" t="inlineStr">
        <is>
          <t>study</t>
        </is>
      </c>
    </row>
    <row r="55">
      <c r="A55" t="inlineStr">
        <is>
          <t>IA-WIRE-LOSS</t>
        </is>
      </c>
      <c r="B55" t="inlineStr">
        <is>
          <t>WIRE_DRAW</t>
        </is>
      </c>
      <c r="C55" t="inlineStr">
        <is>
          <t>BAGHOUSE</t>
        </is>
      </c>
      <c r="D55" t="n">
        <v>0.44</v>
      </c>
      <c r="E55" t="inlineStr">
        <is>
          <t>kg/d</t>
        </is>
      </c>
      <c r="F55" t="inlineStr">
        <is>
          <t>study</t>
        </is>
      </c>
    </row>
    <row r="56">
      <c r="A56" t="inlineStr">
        <is>
          <t>S19</t>
        </is>
      </c>
      <c r="B56" t="inlineStr">
        <is>
          <t>BAGHOUSE</t>
        </is>
      </c>
      <c r="C56" t="inlineStr">
        <is>
          <t>LEACH_CSTR_1</t>
        </is>
      </c>
      <c r="D56" t="n">
        <v>0</v>
      </c>
      <c r="E56" t="inlineStr">
        <is>
          <t>kg/d</t>
        </is>
      </c>
      <c r="F56" t="inlineStr">
        <is>
          <t>study</t>
        </is>
      </c>
    </row>
    <row r="57">
      <c r="A57" t="inlineStr">
        <is>
          <t>S24</t>
        </is>
      </c>
      <c r="B57" t="inlineStr">
        <is>
          <t>H2_DRYER</t>
        </is>
      </c>
      <c r="C57" t="inlineStr">
        <is>
          <t>RELIEF_H2</t>
        </is>
      </c>
      <c r="D57" t="n">
        <v>0</v>
      </c>
      <c r="E57" t="inlineStr">
        <is>
          <t>kg/d</t>
        </is>
      </c>
      <c r="F57" t="inlineStr">
        <is>
          <t>study</t>
        </is>
      </c>
    </row>
    <row r="58">
      <c r="A58" t="inlineStr">
        <is>
          <t>S46</t>
        </is>
      </c>
      <c r="B58" t="inlineStr">
        <is>
          <t>BACKUP_GEN</t>
        </is>
      </c>
      <c r="C58" t="inlineStr">
        <is>
          <t>NOX_SCRUB</t>
        </is>
      </c>
      <c r="D58" t="n">
        <v>0.267975</v>
      </c>
      <c r="E58" t="inlineStr">
        <is>
          <t>kg/d</t>
        </is>
      </c>
      <c r="F58" t="inlineStr">
        <is>
          <t>study</t>
        </is>
      </c>
    </row>
    <row r="59">
      <c r="A59" t="inlineStr">
        <is>
          <t>S64</t>
        </is>
      </c>
      <c r="B59" t="inlineStr">
        <is>
          <t>H2_DRYER</t>
        </is>
      </c>
      <c r="C59" t="inlineStr">
        <is>
          <t>CRYO_H2</t>
        </is>
      </c>
      <c r="D59" t="n">
        <v>1.975408</v>
      </c>
      <c r="E59" t="inlineStr">
        <is>
          <t>kg/d</t>
        </is>
      </c>
      <c r="F59" t="inlineStr">
        <is>
          <t>authority</t>
        </is>
      </c>
    </row>
    <row r="60">
      <c r="A60" t="inlineStr">
        <is>
          <t>S65</t>
        </is>
      </c>
      <c r="B60" t="inlineStr">
        <is>
          <t>ALK_SCRUBBER</t>
        </is>
      </c>
      <c r="C60" t="inlineStr">
        <is>
          <t>ACID_POLISH_SCRUB</t>
        </is>
      </c>
      <c r="D60" t="n">
        <v>37509.8546</v>
      </c>
      <c r="E60" t="inlineStr">
        <is>
          <t>kg/d</t>
        </is>
      </c>
      <c r="F60" t="inlineStr">
        <is>
          <t>study</t>
        </is>
      </c>
    </row>
    <row r="61">
      <c r="A61" t="inlineStr">
        <is>
          <t>S66</t>
        </is>
      </c>
      <c r="B61" t="inlineStr">
        <is>
          <t>ACID_POLISH_SCRUB</t>
        </is>
      </c>
      <c r="C61" t="inlineStr">
        <is>
          <t>CRU</t>
        </is>
      </c>
      <c r="D61" t="n">
        <v>27.372033</v>
      </c>
      <c r="E61" t="inlineStr">
        <is>
          <t>kg/d</t>
        </is>
      </c>
      <c r="F61" t="inlineStr">
        <is>
          <t>study</t>
        </is>
      </c>
    </row>
    <row r="62">
      <c r="A62" t="inlineStr">
        <is>
          <t>S67</t>
        </is>
      </c>
      <c r="B62" t="inlineStr">
        <is>
          <t>AFTERBURNER_FLUE</t>
        </is>
      </c>
      <c r="C62" t="inlineStr">
        <is>
          <t>FLUE_KO</t>
        </is>
      </c>
      <c r="D62" t="n">
        <v>117.42759</v>
      </c>
      <c r="E62" t="inlineStr">
        <is>
          <t>kg/d</t>
        </is>
      </c>
      <c r="F62" t="inlineStr">
        <is>
          <t>study</t>
        </is>
      </c>
    </row>
    <row r="63">
      <c r="A63" t="inlineStr">
        <is>
          <t>S67B</t>
        </is>
      </c>
      <c r="B63" t="inlineStr">
        <is>
          <t>FLUE_KO</t>
        </is>
      </c>
      <c r="C63" t="inlineStr">
        <is>
          <t>CRYO_CO2</t>
        </is>
      </c>
      <c r="D63" t="n">
        <v>14.050492</v>
      </c>
      <c r="E63" t="inlineStr">
        <is>
          <t>kg/d</t>
        </is>
      </c>
      <c r="F63" t="inlineStr">
        <is>
          <t>study</t>
        </is>
      </c>
    </row>
    <row r="64">
      <c r="A64" t="inlineStr">
        <is>
          <t>S70</t>
        </is>
      </c>
      <c r="B64" t="inlineStr">
        <is>
          <t>CRYO_AHU_COND_CONDENSABLE</t>
        </is>
      </c>
      <c r="C64" t="inlineStr">
        <is>
          <t>FLUE_KO</t>
        </is>
      </c>
      <c r="D64" t="n">
        <v>0.0521</v>
      </c>
      <c r="E64" t="inlineStr">
        <is>
          <t>kg/d</t>
        </is>
      </c>
      <c r="F64" t="inlineStr">
        <is>
          <t>study</t>
        </is>
      </c>
    </row>
    <row r="65">
      <c r="A65" t="inlineStr">
        <is>
          <t>S83</t>
        </is>
      </c>
      <c r="B65" t="inlineStr">
        <is>
          <t>CRYO_O2</t>
        </is>
      </c>
      <c r="C65" t="inlineStr">
        <is>
          <t>HDR_O2</t>
        </is>
      </c>
      <c r="D65" t="n">
        <v>33.195501</v>
      </c>
      <c r="E65" t="inlineStr">
        <is>
          <t>kg/d</t>
        </is>
      </c>
      <c r="F65" t="inlineStr">
        <is>
          <t>study</t>
        </is>
      </c>
    </row>
    <row r="66">
      <c r="A66" t="inlineStr">
        <is>
          <t>SF-ACID_POLISH_SCRUB</t>
        </is>
      </c>
      <c r="B66" t="inlineStr">
        <is>
          <t>SOL_ARK_60K</t>
        </is>
      </c>
      <c r="C66" t="inlineStr">
        <is>
          <t>ACID_POLISH_SCRUB</t>
        </is>
      </c>
      <c r="D66" t="n">
        <v>1.1123</v>
      </c>
      <c r="E66" t="inlineStr">
        <is>
          <t>kW</t>
        </is>
      </c>
      <c r="F66" t="inlineStr">
        <is>
          <t>study</t>
        </is>
      </c>
    </row>
    <row r="67">
      <c r="A67" t="inlineStr">
        <is>
          <t>SF-ALK_SCRUBBER</t>
        </is>
      </c>
      <c r="B67" t="inlineStr">
        <is>
          <t>SOL_ARK_60K</t>
        </is>
      </c>
      <c r="C67" t="inlineStr">
        <is>
          <t>ALK_SCRUBBER</t>
        </is>
      </c>
      <c r="D67" t="n">
        <v>1.1123</v>
      </c>
      <c r="E67" t="inlineStr">
        <is>
          <t>kW</t>
        </is>
      </c>
      <c r="F67" t="inlineStr">
        <is>
          <t>study</t>
        </is>
      </c>
    </row>
    <row r="68">
      <c r="A68" t="inlineStr">
        <is>
          <t>SF-H2_DRYER</t>
        </is>
      </c>
      <c r="B68" t="inlineStr">
        <is>
          <t>SOL_ARK_60K</t>
        </is>
      </c>
      <c r="C68" t="inlineStr">
        <is>
          <t>H2_DRYER</t>
        </is>
      </c>
      <c r="D68" t="n">
        <v>0.0205</v>
      </c>
      <c r="E68" t="inlineStr">
        <is>
          <t>kW</t>
        </is>
      </c>
      <c r="F68" t="inlineStr">
        <is>
          <t>study</t>
        </is>
      </c>
    </row>
    <row r="69">
      <c r="A69" t="inlineStr">
        <is>
          <t>SF-NOX_SCRUB</t>
        </is>
      </c>
      <c r="B69" t="inlineStr">
        <is>
          <t>SOL_ARK_60K</t>
        </is>
      </c>
      <c r="C69" t="inlineStr">
        <is>
          <t>NOX_SCRUB</t>
        </is>
      </c>
      <c r="D69" t="n">
        <v>0.0385</v>
      </c>
      <c r="E69" t="inlineStr">
        <is>
          <t>kW</t>
        </is>
      </c>
      <c r="F69" t="inlineStr">
        <is>
          <t>study</t>
        </is>
      </c>
    </row>
  </sheetData>
  <autoFilter ref="A1:H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8" customWidth="1" min="3" max="3"/>
    <col width="10" customWidth="1" min="4" max="4"/>
    <col width="12" customWidth="1" min="5" max="5"/>
    <col width="16" customWidth="1" min="6" max="6"/>
    <col width="9" customWidth="1" min="7" max="7"/>
    <col width="13" customWidth="1" min="8" max="8"/>
  </cols>
  <sheetData>
    <row r="1">
      <c r="A1" s="3" t="inlineStr">
        <is>
          <t>unit_id</t>
        </is>
      </c>
      <c r="B1" s="3" t="inlineStr">
        <is>
          <t>continuous_kw</t>
        </is>
      </c>
      <c r="C1" s="3" t="inlineStr">
        <is>
          <t>kw_unit</t>
        </is>
      </c>
      <c r="D1" s="3" t="inlineStr">
        <is>
          <t>kw_status</t>
        </is>
      </c>
      <c r="E1" s="3" t="inlineStr">
        <is>
          <t>presence</t>
        </is>
      </c>
      <c r="F1" s="3" t="inlineStr">
        <is>
          <t>class</t>
        </is>
      </c>
      <c r="G1" s="3" t="inlineStr">
        <is>
          <t>enabled</t>
        </is>
      </c>
      <c r="H1" s="3" t="inlineStr">
        <is>
          <t>graph_sector</t>
        </is>
      </c>
    </row>
    <row r="2">
      <c r="A2" t="inlineStr">
        <is>
          <t>FAB_UPW_TANK</t>
        </is>
      </c>
      <c r="E2" t="inlineStr">
        <is>
          <t>present</t>
        </is>
      </c>
      <c r="F2" t="inlineStr">
        <is>
          <t>tank</t>
        </is>
      </c>
      <c r="G2" t="b">
        <v>1</v>
      </c>
      <c r="H2" t="inlineStr">
        <is>
          <t>FAB</t>
        </is>
      </c>
    </row>
    <row r="3">
      <c r="A3" t="inlineStr">
        <is>
          <t>LITHO_ALIGN</t>
        </is>
      </c>
      <c r="B3" s="8" t="n">
        <v>0.004</v>
      </c>
      <c r="C3" t="inlineStr">
        <is>
          <t>kW</t>
        </is>
      </c>
      <c r="D3" t="inlineStr">
        <is>
          <t>study</t>
        </is>
      </c>
      <c r="E3" t="inlineStr">
        <is>
          <t>present</t>
        </is>
      </c>
      <c r="F3" t="inlineStr">
        <is>
          <t>aligner</t>
        </is>
      </c>
      <c r="G3" t="b">
        <v>1</v>
      </c>
      <c r="H3" t="inlineStr">
        <is>
          <t>FAB</t>
        </is>
      </c>
    </row>
    <row r="4">
      <c r="A4" t="inlineStr">
        <is>
          <t>LITHO_COAT</t>
        </is>
      </c>
      <c r="B4" s="8" t="n">
        <v>0.0254</v>
      </c>
      <c r="C4" t="inlineStr">
        <is>
          <t>kW</t>
        </is>
      </c>
      <c r="D4" t="inlineStr">
        <is>
          <t>study</t>
        </is>
      </c>
      <c r="E4" t="inlineStr">
        <is>
          <t>present</t>
        </is>
      </c>
      <c r="F4" t="inlineStr">
        <is>
          <t>coater</t>
        </is>
      </c>
      <c r="G4" t="b">
        <v>1</v>
      </c>
      <c r="H4" t="inlineStr">
        <is>
          <t>FAB</t>
        </is>
      </c>
    </row>
    <row r="5">
      <c r="A5" t="inlineStr">
        <is>
          <t>LITHO_DEV</t>
        </is>
      </c>
      <c r="B5" s="8" t="n">
        <v>0.008</v>
      </c>
      <c r="C5" t="inlineStr">
        <is>
          <t>kW</t>
        </is>
      </c>
      <c r="D5" t="inlineStr">
        <is>
          <t>study</t>
        </is>
      </c>
      <c r="E5" t="inlineStr">
        <is>
          <t>present</t>
        </is>
      </c>
      <c r="F5" t="inlineStr">
        <is>
          <t>wet_bench</t>
        </is>
      </c>
      <c r="G5" t="b">
        <v>1</v>
      </c>
      <c r="H5" t="inlineStr">
        <is>
          <t>FAB</t>
        </is>
      </c>
    </row>
    <row r="6">
      <c r="A6" t="inlineStr">
        <is>
          <t>LITHO_STUB</t>
        </is>
      </c>
      <c r="E6" t="inlineStr">
        <is>
          <t>retired</t>
        </is>
      </c>
      <c r="F6" t="inlineStr">
        <is>
          <t>study_stub</t>
        </is>
      </c>
      <c r="G6" t="b">
        <v>1</v>
      </c>
      <c r="H6" t="inlineStr">
        <is>
          <t>FAB</t>
        </is>
      </c>
    </row>
    <row r="7">
      <c r="A7" t="inlineStr">
        <is>
          <t>SOLAR_PV_CELL</t>
        </is>
      </c>
      <c r="B7" s="8" t="n">
        <v>0.3917</v>
      </c>
      <c r="C7" t="inlineStr">
        <is>
          <t>kW</t>
        </is>
      </c>
      <c r="D7" t="inlineStr">
        <is>
          <t>study</t>
        </is>
      </c>
      <c r="E7" t="inlineStr">
        <is>
          <t>present</t>
        </is>
      </c>
      <c r="F7" t="inlineStr">
        <is>
          <t>tool</t>
        </is>
      </c>
      <c r="G7" t="b">
        <v>1</v>
      </c>
      <c r="H7" t="inlineStr">
        <is>
          <t>FAB</t>
        </is>
      </c>
    </row>
    <row r="8">
      <c r="A8" t="inlineStr">
        <is>
          <t>WAFER_FAB</t>
        </is>
      </c>
      <c r="B8" s="8" t="n">
        <v>0.4417</v>
      </c>
      <c r="C8" t="inlineStr">
        <is>
          <t>kW</t>
        </is>
      </c>
      <c r="D8" t="inlineStr">
        <is>
          <t>study</t>
        </is>
      </c>
      <c r="E8" t="inlineStr">
        <is>
          <t>present</t>
        </is>
      </c>
      <c r="F8" t="inlineStr">
        <is>
          <t>fab</t>
        </is>
      </c>
      <c r="G8" t="b">
        <v>1</v>
      </c>
      <c r="H8" t="inlineStr">
        <is>
          <t>FAB</t>
        </is>
      </c>
    </row>
    <row r="9">
      <c r="A9" t="inlineStr">
        <is>
          <t>WET_BENCH</t>
        </is>
      </c>
      <c r="B9" s="8" t="n">
        <v>0.2066</v>
      </c>
      <c r="C9" t="inlineStr">
        <is>
          <t>kW</t>
        </is>
      </c>
      <c r="D9" t="inlineStr">
        <is>
          <t>study</t>
        </is>
      </c>
      <c r="E9" t="inlineStr">
        <is>
          <t>present</t>
        </is>
      </c>
      <c r="F9" t="inlineStr">
        <is>
          <t>wet_bench</t>
        </is>
      </c>
      <c r="G9" t="b">
        <v>1</v>
      </c>
      <c r="H9" t="inlineStr">
        <is>
          <t>FAB</t>
        </is>
      </c>
    </row>
    <row r="10">
      <c r="A10" t="inlineStr">
        <is>
          <t>WS_AMMONIA</t>
        </is>
      </c>
      <c r="E10" t="inlineStr">
        <is>
          <t>present</t>
        </is>
      </c>
      <c r="F10" t="inlineStr">
        <is>
          <t>reagent</t>
        </is>
      </c>
      <c r="G10" t="b">
        <v>1</v>
      </c>
      <c r="H10" t="inlineStr">
        <is>
          <t>FAB</t>
        </is>
      </c>
    </row>
    <row r="11">
      <c r="A11" t="inlineStr">
        <is>
          <t>WS_DOPE</t>
        </is>
      </c>
      <c r="E11" t="inlineStr">
        <is>
          <t>present</t>
        </is>
      </c>
      <c r="F11" t="inlineStr">
        <is>
          <t>reagent</t>
        </is>
      </c>
      <c r="G11" t="b">
        <v>1</v>
      </c>
      <c r="H11" t="inlineStr">
        <is>
          <t>FAB</t>
        </is>
      </c>
    </row>
    <row r="12">
      <c r="A12" t="inlineStr">
        <is>
          <t>WS_HF_ED</t>
        </is>
      </c>
      <c r="E12" t="inlineStr">
        <is>
          <t>present</t>
        </is>
      </c>
      <c r="F12" t="inlineStr">
        <is>
          <t>reagent</t>
        </is>
      </c>
      <c r="G12" t="b">
        <v>1</v>
      </c>
      <c r="H12" t="inlineStr">
        <is>
          <t>FAB</t>
        </is>
      </c>
    </row>
    <row r="13">
      <c r="A13" t="inlineStr">
        <is>
          <t>WS_KOH</t>
        </is>
      </c>
      <c r="E13" t="inlineStr">
        <is>
          <t>present</t>
        </is>
      </c>
      <c r="F13" t="inlineStr">
        <is>
          <t>reagent</t>
        </is>
      </c>
      <c r="G13" t="b">
        <v>1</v>
      </c>
      <c r="H13" t="inlineStr">
        <is>
          <t>FAB</t>
        </is>
      </c>
    </row>
    <row r="14">
      <c r="A14" t="inlineStr">
        <is>
          <t>WS_NITRIC</t>
        </is>
      </c>
      <c r="E14" t="inlineStr">
        <is>
          <t>present</t>
        </is>
      </c>
      <c r="F14" t="inlineStr">
        <is>
          <t>reagent</t>
        </is>
      </c>
      <c r="G14" t="b">
        <v>1</v>
      </c>
      <c r="H14" t="inlineStr">
        <is>
          <t>FAB</t>
        </is>
      </c>
    </row>
    <row r="15">
      <c r="A15" t="inlineStr">
        <is>
          <t>WS_PEROX</t>
        </is>
      </c>
      <c r="B15" s="8" t="n">
        <v>0.0308</v>
      </c>
      <c r="C15" t="inlineStr">
        <is>
          <t>kW</t>
        </is>
      </c>
      <c r="D15" t="inlineStr">
        <is>
          <t>study</t>
        </is>
      </c>
      <c r="E15" t="inlineStr">
        <is>
          <t>present</t>
        </is>
      </c>
      <c r="F15" t="inlineStr">
        <is>
          <t>reagent</t>
        </is>
      </c>
      <c r="G15" t="b">
        <v>1</v>
      </c>
      <c r="H15" t="inlineStr">
        <is>
          <t>FAB</t>
        </is>
      </c>
    </row>
    <row r="16">
      <c r="A16" t="inlineStr">
        <is>
          <t>WS_PHOS</t>
        </is>
      </c>
      <c r="E16" t="inlineStr">
        <is>
          <t>present</t>
        </is>
      </c>
      <c r="F16" t="inlineStr">
        <is>
          <t>reagent</t>
        </is>
      </c>
      <c r="G16" t="b">
        <v>1</v>
      </c>
      <c r="H16" t="inlineStr">
        <is>
          <t>FAB</t>
        </is>
      </c>
    </row>
    <row r="17">
      <c r="A17" t="inlineStr">
        <is>
          <t>WS_SLURRY</t>
        </is>
      </c>
      <c r="E17" t="inlineStr">
        <is>
          <t>present</t>
        </is>
      </c>
      <c r="F17" t="inlineStr">
        <is>
          <t>reagent</t>
        </is>
      </c>
      <c r="G17" t="b">
        <v>1</v>
      </c>
      <c r="H17" t="inlineStr">
        <is>
          <t>FAB</t>
        </is>
      </c>
    </row>
    <row r="18">
      <c r="A18" t="inlineStr">
        <is>
          <t>WS_SOLV</t>
        </is>
      </c>
      <c r="E18" t="inlineStr">
        <is>
          <t>present</t>
        </is>
      </c>
      <c r="F18" t="inlineStr">
        <is>
          <t>reagent</t>
        </is>
      </c>
      <c r="G18" t="b">
        <v>1</v>
      </c>
      <c r="H18" t="inlineStr">
        <is>
          <t>FAB</t>
        </is>
      </c>
    </row>
    <row r="20">
      <c r="A20" s="1" t="inlineStr">
        <is>
          <t>SUBTOTAL continuous kW (SUM)</t>
        </is>
      </c>
      <c r="B20" s="10">
        <f>SUM(B2:B18)</f>
        <v/>
      </c>
    </row>
    <row r="22">
      <c r="A22" s="9" t="inlineStr">
        <is>
          <t>EDGES TOUCHING THIS SECTOR (from or to)</t>
        </is>
      </c>
    </row>
    <row r="23">
      <c r="A23" s="3" t="inlineStr">
        <is>
          <t>stream_id</t>
        </is>
      </c>
      <c r="B23" s="3" t="inlineStr">
        <is>
          <t>from_unit</t>
        </is>
      </c>
      <c r="C23" s="3" t="inlineStr">
        <is>
          <t>to_unit</t>
        </is>
      </c>
      <c r="D23" s="3" t="inlineStr">
        <is>
          <t>rate</t>
        </is>
      </c>
      <c r="E23" s="3" t="inlineStr">
        <is>
          <t>unit</t>
        </is>
      </c>
      <c r="F23" s="3" t="inlineStr">
        <is>
          <t>status</t>
        </is>
      </c>
    </row>
    <row r="24">
      <c r="A24" t="inlineStr">
        <is>
          <t>IA-BMED-01</t>
        </is>
      </c>
      <c r="B24" t="inlineStr">
        <is>
          <t>BMED_ACID</t>
        </is>
      </c>
      <c r="C24" t="inlineStr">
        <is>
          <t>WS_NITRIC</t>
        </is>
      </c>
      <c r="D24" t="n">
        <v>1.2456</v>
      </c>
      <c r="E24" t="inlineStr">
        <is>
          <t>kg/d</t>
        </is>
      </c>
      <c r="F24" t="inlineStr">
        <is>
          <t>study</t>
        </is>
      </c>
    </row>
    <row r="25">
      <c r="A25" t="inlineStr">
        <is>
          <t>IA-BMED-02</t>
        </is>
      </c>
      <c r="B25" t="inlineStr">
        <is>
          <t>BMED_BASE</t>
        </is>
      </c>
      <c r="C25" t="inlineStr">
        <is>
          <t>WS_KOH</t>
        </is>
      </c>
      <c r="D25" t="n">
        <v>0.2701</v>
      </c>
      <c r="E25" t="inlineStr">
        <is>
          <t>kg/d</t>
        </is>
      </c>
      <c r="F25" t="inlineStr">
        <is>
          <t>study</t>
        </is>
      </c>
    </row>
    <row r="26">
      <c r="A26" t="inlineStr">
        <is>
          <t>IA-FAB-LOSS</t>
        </is>
      </c>
      <c r="B26" t="inlineStr">
        <is>
          <t>WAFER_FAB</t>
        </is>
      </c>
      <c r="C26" t="inlineStr">
        <is>
          <t>BAGHOUSE</t>
        </is>
      </c>
      <c r="D26" t="n">
        <v>0.51</v>
      </c>
      <c r="E26" t="inlineStr">
        <is>
          <t>kg/d</t>
        </is>
      </c>
      <c r="F26" t="inlineStr">
        <is>
          <t>study</t>
        </is>
      </c>
    </row>
    <row r="27">
      <c r="A27" t="inlineStr">
        <is>
          <t>IA-FAB-SPENT</t>
        </is>
      </c>
      <c r="B27" t="inlineStr">
        <is>
          <t>WAFER_FAB</t>
        </is>
      </c>
      <c r="C27" t="inlineStr">
        <is>
          <t>LEACH_CSTR_1</t>
        </is>
      </c>
      <c r="D27" t="n">
        <v>66.502511</v>
      </c>
      <c r="E27" t="inlineStr">
        <is>
          <t>kg/d</t>
        </is>
      </c>
      <c r="F27" t="inlineStr">
        <is>
          <t>study</t>
        </is>
      </c>
    </row>
    <row r="28">
      <c r="A28" t="inlineStr">
        <is>
          <t>IA-H2O2-SRC</t>
        </is>
      </c>
      <c r="B28" t="inlineStr">
        <is>
          <t>HDR_O2</t>
        </is>
      </c>
      <c r="C28" t="inlineStr">
        <is>
          <t>WS_PEROX</t>
        </is>
      </c>
      <c r="D28" t="n">
        <v>0.176</v>
      </c>
      <c r="E28" t="inlineStr">
        <is>
          <t>kg/d</t>
        </is>
      </c>
      <c r="F28" t="inlineStr">
        <is>
          <t>study</t>
        </is>
      </c>
    </row>
    <row r="29">
      <c r="A29" t="inlineStr">
        <is>
          <t>IA-HF-PROD</t>
        </is>
      </c>
      <c r="B29" t="inlineStr">
        <is>
          <t>HF_GEN</t>
        </is>
      </c>
      <c r="C29" t="inlineStr">
        <is>
          <t>WS_HF_ED</t>
        </is>
      </c>
      <c r="D29" t="n">
        <v>1.5</v>
      </c>
      <c r="E29" t="inlineStr">
        <is>
          <t>kg/d</t>
        </is>
      </c>
      <c r="F29" t="inlineStr">
        <is>
          <t>study</t>
        </is>
      </c>
    </row>
    <row r="30">
      <c r="A30" t="inlineStr">
        <is>
          <t>IA-LITHO-CARRY</t>
        </is>
      </c>
      <c r="B30" t="inlineStr">
        <is>
          <t>LITHO_COAT</t>
        </is>
      </c>
      <c r="C30" t="inlineStr">
        <is>
          <t>LITHO_DEV</t>
        </is>
      </c>
      <c r="D30" t="n">
        <v>0.987499</v>
      </c>
      <c r="E30" t="inlineStr">
        <is>
          <t>kg/d</t>
        </is>
      </c>
      <c r="F30" t="inlineStr">
        <is>
          <t>study</t>
        </is>
      </c>
    </row>
    <row r="31">
      <c r="A31" t="inlineStr">
        <is>
          <t>IA-LITHO-IN</t>
        </is>
      </c>
      <c r="B31" t="inlineStr">
        <is>
          <t>WAFER_FAB</t>
        </is>
      </c>
      <c r="C31" t="inlineStr">
        <is>
          <t>LITHO_COAT</t>
        </is>
      </c>
      <c r="D31" t="n">
        <v>0.987499</v>
      </c>
      <c r="E31" t="inlineStr">
        <is>
          <t>kg/d</t>
        </is>
      </c>
      <c r="F31" t="inlineStr">
        <is>
          <t>study</t>
        </is>
      </c>
    </row>
    <row r="32">
      <c r="A32" t="inlineStr">
        <is>
          <t>IA-LITHO-OUT</t>
        </is>
      </c>
      <c r="B32" t="inlineStr">
        <is>
          <t>LITHO_DEV</t>
        </is>
      </c>
      <c r="C32" t="inlineStr">
        <is>
          <t>OIL_FRAC</t>
        </is>
      </c>
      <c r="D32" t="n">
        <v>0.987499</v>
      </c>
      <c r="E32" t="inlineStr">
        <is>
          <t>kg/d</t>
        </is>
      </c>
      <c r="F32" t="inlineStr">
        <is>
          <t>study</t>
        </is>
      </c>
    </row>
    <row r="33">
      <c r="A33" t="inlineStr">
        <is>
          <t>IA-NH3-SRC</t>
        </is>
      </c>
      <c r="B33" t="inlineStr">
        <is>
          <t>HDR_N2</t>
        </is>
      </c>
      <c r="C33" t="inlineStr">
        <is>
          <t>WS_AMMONIA</t>
        </is>
      </c>
      <c r="D33" t="n">
        <v>3.008739</v>
      </c>
      <c r="E33" t="inlineStr">
        <is>
          <t>kg/d</t>
        </is>
      </c>
      <c r="F33" t="inlineStr">
        <is>
          <t>study</t>
        </is>
      </c>
    </row>
    <row r="34">
      <c r="A34" t="inlineStr">
        <is>
          <t>IA-NIT-VENT</t>
        </is>
      </c>
      <c r="B34" t="inlineStr">
        <is>
          <t>WS_NITRIC</t>
        </is>
      </c>
      <c r="C34" t="inlineStr">
        <is>
          <t>NOX_SCRUB</t>
        </is>
      </c>
      <c r="D34" t="n">
        <v>0</v>
      </c>
      <c r="E34" t="inlineStr">
        <is>
          <t>kg/d</t>
        </is>
      </c>
      <c r="F34" t="inlineStr">
        <is>
          <t>study</t>
        </is>
      </c>
    </row>
    <row r="35">
      <c r="A35" t="inlineStr">
        <is>
          <t>IA-PEROX-H2O</t>
        </is>
      </c>
      <c r="B35" t="inlineStr">
        <is>
          <t>ROOF_TANK</t>
        </is>
      </c>
      <c r="C35" t="inlineStr">
        <is>
          <t>WS_PEROX</t>
        </is>
      </c>
      <c r="D35" t="n">
        <v>2.824</v>
      </c>
      <c r="E35" t="inlineStr">
        <is>
          <t>kg/d</t>
        </is>
      </c>
      <c r="F35" t="inlineStr">
        <is>
          <t>study</t>
        </is>
      </c>
    </row>
    <row r="36">
      <c r="A36" t="inlineStr">
        <is>
          <t>IA-PHOS-DOPE</t>
        </is>
      </c>
      <c r="B36" t="inlineStr">
        <is>
          <t>WS_PHOS</t>
        </is>
      </c>
      <c r="C36" t="inlineStr">
        <is>
          <t>WS_DOPE</t>
        </is>
      </c>
      <c r="D36" t="n">
        <v>0.01</v>
      </c>
      <c r="E36" t="inlineStr">
        <is>
          <t>kg/d</t>
        </is>
      </c>
      <c r="F36" t="inlineStr">
        <is>
          <t>study</t>
        </is>
      </c>
    </row>
    <row r="37">
      <c r="A37" t="inlineStr">
        <is>
          <t>IA-PHOS-SRC</t>
        </is>
      </c>
      <c r="B37" t="inlineStr">
        <is>
          <t>LEACH_CSTR_1</t>
        </is>
      </c>
      <c r="C37" t="inlineStr">
        <is>
          <t>WS_PHOS</t>
        </is>
      </c>
      <c r="D37" t="n">
        <v>0.62</v>
      </c>
      <c r="E37" t="inlineStr">
        <is>
          <t>kg/d</t>
        </is>
      </c>
      <c r="F37" t="inlineStr">
        <is>
          <t>study</t>
        </is>
      </c>
    </row>
    <row r="38">
      <c r="A38" t="inlineStr">
        <is>
          <t>IA-PV-IN</t>
        </is>
      </c>
      <c r="B38" t="inlineStr">
        <is>
          <t>WS_DOPE</t>
        </is>
      </c>
      <c r="C38" t="inlineStr">
        <is>
          <t>SOLAR_PV_CELL</t>
        </is>
      </c>
      <c r="D38" t="n">
        <v>0.01</v>
      </c>
      <c r="E38" t="inlineStr">
        <is>
          <t>kg/d</t>
        </is>
      </c>
      <c r="F38" t="inlineStr">
        <is>
          <t>study</t>
        </is>
      </c>
    </row>
    <row r="39">
      <c r="A39" t="inlineStr">
        <is>
          <t>IA-PV-OUT</t>
        </is>
      </c>
      <c r="B39" t="inlineStr">
        <is>
          <t>SOLAR_PV_CELL</t>
        </is>
      </c>
      <c r="C39" t="inlineStr">
        <is>
          <t>WAFER_FAB</t>
        </is>
      </c>
      <c r="D39" t="n">
        <v>0.009998999999999999</v>
      </c>
      <c r="E39" t="inlineStr">
        <is>
          <t>kg/d</t>
        </is>
      </c>
      <c r="F39" t="inlineStr">
        <is>
          <t>study</t>
        </is>
      </c>
    </row>
    <row r="40">
      <c r="A40" t="inlineStr">
        <is>
          <t>IA-SIL-SRC</t>
        </is>
      </c>
      <c r="B40" t="inlineStr">
        <is>
          <t>GLASS_DIGEST</t>
        </is>
      </c>
      <c r="C40" t="inlineStr">
        <is>
          <t>WS_SLURRY</t>
        </is>
      </c>
      <c r="D40" t="n">
        <v>3.3</v>
      </c>
      <c r="E40" t="inlineStr">
        <is>
          <t>kg/d</t>
        </is>
      </c>
      <c r="F40" t="inlineStr">
        <is>
          <t>study</t>
        </is>
      </c>
    </row>
    <row r="41">
      <c r="A41" t="inlineStr">
        <is>
          <t>IA-SOLV-MU</t>
        </is>
      </c>
      <c r="B41" t="inlineStr">
        <is>
          <t>NORTH_DOCK</t>
        </is>
      </c>
      <c r="C41" t="inlineStr">
        <is>
          <t>WS_SOLV</t>
        </is>
      </c>
      <c r="D41" t="n">
        <v>0.209973</v>
      </c>
      <c r="E41" t="inlineStr">
        <is>
          <t>kg/d</t>
        </is>
      </c>
      <c r="F41" t="inlineStr">
        <is>
          <t>study</t>
        </is>
      </c>
    </row>
    <row r="42">
      <c r="A42" t="inlineStr">
        <is>
          <t>IA-SOLV-WB</t>
        </is>
      </c>
      <c r="B42" t="inlineStr">
        <is>
          <t>WS_SOLV</t>
        </is>
      </c>
      <c r="C42" t="inlineStr">
        <is>
          <t>WET_BENCH</t>
        </is>
      </c>
      <c r="D42" t="n">
        <v>0.209973</v>
      </c>
      <c r="E42" t="inlineStr">
        <is>
          <t>kg/d</t>
        </is>
      </c>
      <c r="F42" t="inlineStr">
        <is>
          <t>study</t>
        </is>
      </c>
    </row>
    <row r="43">
      <c r="A43" t="inlineStr">
        <is>
          <t>IA-UPW-FAB</t>
        </is>
      </c>
      <c r="B43" t="inlineStr">
        <is>
          <t>BMED_UPW_POLISH</t>
        </is>
      </c>
      <c r="C43" t="inlineStr">
        <is>
          <t>FAB_UPW_TANK</t>
        </is>
      </c>
      <c r="D43" t="n">
        <v>60.000181</v>
      </c>
      <c r="E43" t="inlineStr">
        <is>
          <t>kg/d</t>
        </is>
      </c>
      <c r="F43" t="inlineStr">
        <is>
          <t>study</t>
        </is>
      </c>
    </row>
    <row r="44">
      <c r="A44" t="inlineStr">
        <is>
          <t>IA-UPW-USE</t>
        </is>
      </c>
      <c r="B44" t="inlineStr">
        <is>
          <t>HDR_UPW</t>
        </is>
      </c>
      <c r="C44" t="inlineStr">
        <is>
          <t>WAFER_FAB</t>
        </is>
      </c>
      <c r="D44" t="n">
        <v>66.500213</v>
      </c>
      <c r="E44" t="inlineStr">
        <is>
          <t>kg/d</t>
        </is>
      </c>
      <c r="F44" t="inlineStr">
        <is>
          <t>study</t>
        </is>
      </c>
    </row>
    <row r="45">
      <c r="A45" t="inlineStr">
        <is>
          <t>POLY_TO_FAB</t>
        </is>
      </c>
      <c r="B45" t="inlineStr">
        <is>
          <t>POLY_STOCK</t>
        </is>
      </c>
      <c r="C45" t="inlineStr">
        <is>
          <t>WAFER_FAB</t>
        </is>
      </c>
      <c r="D45" t="n">
        <v>0</v>
      </c>
      <c r="E45" t="inlineStr">
        <is>
          <t>kg/d</t>
        </is>
      </c>
      <c r="F45" t="inlineStr">
        <is>
          <t>study</t>
        </is>
      </c>
    </row>
    <row r="46">
      <c r="A46" t="inlineStr">
        <is>
          <t>S03</t>
        </is>
      </c>
      <c r="B46" t="inlineStr">
        <is>
          <t>CRYO_N2</t>
        </is>
      </c>
      <c r="C46" t="inlineStr">
        <is>
          <t>WAFER_FAB</t>
        </is>
      </c>
      <c r="D46" t="n">
        <v>1.499799</v>
      </c>
      <c r="E46" t="inlineStr">
        <is>
          <t>kg/d</t>
        </is>
      </c>
      <c r="F46" t="inlineStr">
        <is>
          <t>study</t>
        </is>
      </c>
    </row>
    <row r="47">
      <c r="A47" t="inlineStr">
        <is>
          <t>S09</t>
        </is>
      </c>
      <c r="B47" t="inlineStr">
        <is>
          <t>BMED_ACID</t>
        </is>
      </c>
      <c r="C47" t="inlineStr">
        <is>
          <t>WET_BENCH</t>
        </is>
      </c>
      <c r="D47" t="n">
        <v>9.277184</v>
      </c>
      <c r="E47" t="inlineStr">
        <is>
          <t>kg/d</t>
        </is>
      </c>
      <c r="F47" t="inlineStr">
        <is>
          <t>study</t>
        </is>
      </c>
    </row>
    <row r="48">
      <c r="A48" t="inlineStr">
        <is>
          <t>S10</t>
        </is>
      </c>
      <c r="B48" t="inlineStr">
        <is>
          <t>WET_BENCH</t>
        </is>
      </c>
      <c r="C48" t="inlineStr">
        <is>
          <t>LEACH_CSTR_1</t>
        </is>
      </c>
      <c r="D48" t="n">
        <v>79.11577699999999</v>
      </c>
      <c r="E48" t="inlineStr">
        <is>
          <t>kg/d</t>
        </is>
      </c>
      <c r="F48" t="inlineStr">
        <is>
          <t>study</t>
        </is>
      </c>
    </row>
    <row r="49">
      <c r="A49" t="inlineStr">
        <is>
          <t>S27</t>
        </is>
      </c>
      <c r="B49" t="inlineStr">
        <is>
          <t>FAB_UPW_TANK</t>
        </is>
      </c>
      <c r="C49" t="inlineStr">
        <is>
          <t>WET_BENCH</t>
        </is>
      </c>
      <c r="D49" t="n">
        <v>60.000181</v>
      </c>
      <c r="E49" t="inlineStr">
        <is>
          <t>kg/d</t>
        </is>
      </c>
      <c r="F49" t="inlineStr">
        <is>
          <t>study</t>
        </is>
      </c>
    </row>
    <row r="50">
      <c r="A50" t="inlineStr">
        <is>
          <t>S31</t>
        </is>
      </c>
      <c r="B50" t="inlineStr">
        <is>
          <t>WS_HF_ED</t>
        </is>
      </c>
      <c r="C50" t="inlineStr">
        <is>
          <t>WET_BENCH</t>
        </is>
      </c>
      <c r="D50" t="n">
        <v>1.5</v>
      </c>
      <c r="E50" t="inlineStr">
        <is>
          <t>kg/d</t>
        </is>
      </c>
      <c r="F50" t="inlineStr">
        <is>
          <t>study</t>
        </is>
      </c>
    </row>
    <row r="51">
      <c r="A51" t="inlineStr">
        <is>
          <t>S32</t>
        </is>
      </c>
      <c r="B51" t="inlineStr">
        <is>
          <t>WS_PEROX</t>
        </is>
      </c>
      <c r="C51" t="inlineStr">
        <is>
          <t>WET_BENCH</t>
        </is>
      </c>
      <c r="D51" t="n">
        <v>3</v>
      </c>
      <c r="E51" t="inlineStr">
        <is>
          <t>kg/d</t>
        </is>
      </c>
      <c r="F51" t="inlineStr">
        <is>
          <t>study</t>
        </is>
      </c>
    </row>
    <row r="52">
      <c r="A52" t="inlineStr">
        <is>
          <t>S33</t>
        </is>
      </c>
      <c r="B52" t="inlineStr">
        <is>
          <t>WS_AMMONIA</t>
        </is>
      </c>
      <c r="C52" t="inlineStr">
        <is>
          <t>WET_BENCH</t>
        </is>
      </c>
      <c r="D52" t="n">
        <v>3.008739</v>
      </c>
      <c r="E52" t="inlineStr">
        <is>
          <t>kg/d</t>
        </is>
      </c>
      <c r="F52" t="inlineStr">
        <is>
          <t>study</t>
        </is>
      </c>
    </row>
    <row r="53">
      <c r="A53" t="inlineStr">
        <is>
          <t>S34</t>
        </is>
      </c>
      <c r="B53" t="inlineStr">
        <is>
          <t>WS_NITRIC</t>
        </is>
      </c>
      <c r="C53" t="inlineStr">
        <is>
          <t>WET_BENCH</t>
        </is>
      </c>
      <c r="D53" t="n">
        <v>1.2456</v>
      </c>
      <c r="E53" t="inlineStr">
        <is>
          <t>kg/d</t>
        </is>
      </c>
      <c r="F53" t="inlineStr">
        <is>
          <t>study</t>
        </is>
      </c>
    </row>
    <row r="54">
      <c r="A54" t="inlineStr">
        <is>
          <t>S34B</t>
        </is>
      </c>
      <c r="B54" t="inlineStr">
        <is>
          <t>WS_PHOS</t>
        </is>
      </c>
      <c r="C54" t="inlineStr">
        <is>
          <t>WET_BENCH</t>
        </is>
      </c>
      <c r="D54" t="n">
        <v>0.61</v>
      </c>
      <c r="E54" t="inlineStr">
        <is>
          <t>kg/d</t>
        </is>
      </c>
      <c r="F54" t="inlineStr">
        <is>
          <t>study</t>
        </is>
      </c>
    </row>
    <row r="55">
      <c r="A55" t="inlineStr">
        <is>
          <t>S35</t>
        </is>
      </c>
      <c r="B55" t="inlineStr">
        <is>
          <t>WS_KOH</t>
        </is>
      </c>
      <c r="C55" t="inlineStr">
        <is>
          <t>WET_BENCH</t>
        </is>
      </c>
      <c r="D55" t="n">
        <v>0.2701</v>
      </c>
      <c r="E55" t="inlineStr">
        <is>
          <t>kg/d</t>
        </is>
      </c>
      <c r="F55" t="inlineStr">
        <is>
          <t>study</t>
        </is>
      </c>
    </row>
    <row r="56">
      <c r="A56" t="inlineStr">
        <is>
          <t>S36</t>
        </is>
      </c>
      <c r="B56" t="inlineStr">
        <is>
          <t>WS_DOPE</t>
        </is>
      </c>
      <c r="C56" t="inlineStr">
        <is>
          <t>WAFER_FAB</t>
        </is>
      </c>
      <c r="D56" t="n">
        <v>0</v>
      </c>
      <c r="E56" t="inlineStr">
        <is>
          <t>kg/d</t>
        </is>
      </c>
      <c r="F56" t="inlineStr">
        <is>
          <t>study</t>
        </is>
      </c>
    </row>
    <row r="57">
      <c r="A57" t="inlineStr">
        <is>
          <t>S37</t>
        </is>
      </c>
      <c r="B57" t="inlineStr">
        <is>
          <t>WS_SLURRY</t>
        </is>
      </c>
      <c r="C57" t="inlineStr">
        <is>
          <t>WAFER_FAB</t>
        </is>
      </c>
      <c r="D57" t="n">
        <v>3.3</v>
      </c>
      <c r="E57" t="inlineStr">
        <is>
          <t>kg/d</t>
        </is>
      </c>
      <c r="F57" t="inlineStr">
        <is>
          <t>study</t>
        </is>
      </c>
    </row>
    <row r="58">
      <c r="A58" t="inlineStr">
        <is>
          <t>S38</t>
        </is>
      </c>
      <c r="B58" t="inlineStr">
        <is>
          <t>WET_BENCH</t>
        </is>
      </c>
      <c r="C58" t="inlineStr">
        <is>
          <t>OIL_FRAC</t>
        </is>
      </c>
      <c r="D58" t="n">
        <v>0.006</v>
      </c>
      <c r="E58" t="inlineStr">
        <is>
          <t>kg/d</t>
        </is>
      </c>
      <c r="F58" t="inlineStr">
        <is>
          <t>study</t>
        </is>
      </c>
    </row>
    <row r="59">
      <c r="A59" t="inlineStr">
        <is>
          <t>S39</t>
        </is>
      </c>
      <c r="B59" t="inlineStr">
        <is>
          <t>WAFER_FAB</t>
        </is>
      </c>
      <c r="C59" t="inlineStr">
        <is>
          <t>LEACH_CSTR_1</t>
        </is>
      </c>
      <c r="D59" t="n">
        <v>3.310001</v>
      </c>
      <c r="E59" t="inlineStr">
        <is>
          <t>kg/d</t>
        </is>
      </c>
      <c r="F59" t="inlineStr">
        <is>
          <t>study</t>
        </is>
      </c>
    </row>
    <row r="60">
      <c r="A60" t="inlineStr">
        <is>
          <t>S39B</t>
        </is>
      </c>
      <c r="B60" t="inlineStr">
        <is>
          <t>WAFER_FAB</t>
        </is>
      </c>
      <c r="C60" t="inlineStr">
        <is>
          <t>OIL_FRAC</t>
        </is>
      </c>
      <c r="D60" t="n">
        <v>0</v>
      </c>
      <c r="E60" t="inlineStr">
        <is>
          <t>kg/d</t>
        </is>
      </c>
      <c r="F60" t="inlineStr">
        <is>
          <t>study</t>
        </is>
      </c>
    </row>
    <row r="61">
      <c r="A61" t="inlineStr">
        <is>
          <t>SF-LITHO_ALIGN</t>
        </is>
      </c>
      <c r="B61" t="inlineStr">
        <is>
          <t>SOL_ARK_60K</t>
        </is>
      </c>
      <c r="C61" t="inlineStr">
        <is>
          <t>LITHO_ALIGN</t>
        </is>
      </c>
      <c r="D61" t="n">
        <v>0.004</v>
      </c>
      <c r="E61" t="inlineStr">
        <is>
          <t>kW</t>
        </is>
      </c>
      <c r="F61" t="inlineStr">
        <is>
          <t>study</t>
        </is>
      </c>
    </row>
    <row r="62">
      <c r="A62" t="inlineStr">
        <is>
          <t>SF-LITHO_COAT</t>
        </is>
      </c>
      <c r="B62" t="inlineStr">
        <is>
          <t>SOL_ARK_60K</t>
        </is>
      </c>
      <c r="C62" t="inlineStr">
        <is>
          <t>LITHO_COAT</t>
        </is>
      </c>
      <c r="D62" t="n">
        <v>0.0254</v>
      </c>
      <c r="E62" t="inlineStr">
        <is>
          <t>kW</t>
        </is>
      </c>
      <c r="F62" t="inlineStr">
        <is>
          <t>study</t>
        </is>
      </c>
    </row>
    <row r="63">
      <c r="A63" t="inlineStr">
        <is>
          <t>SF-LITHO_DEV</t>
        </is>
      </c>
      <c r="B63" t="inlineStr">
        <is>
          <t>SOL_ARK_60K</t>
        </is>
      </c>
      <c r="C63" t="inlineStr">
        <is>
          <t>LITHO_DEV</t>
        </is>
      </c>
      <c r="D63" t="n">
        <v>0.008</v>
      </c>
      <c r="E63" t="inlineStr">
        <is>
          <t>kW</t>
        </is>
      </c>
      <c r="F63" t="inlineStr">
        <is>
          <t>study</t>
        </is>
      </c>
    </row>
    <row r="64">
      <c r="A64" t="inlineStr">
        <is>
          <t>SF-LITHO_STUB</t>
        </is>
      </c>
      <c r="B64" t="inlineStr">
        <is>
          <t>SOL_ARK_60K</t>
        </is>
      </c>
      <c r="C64" t="inlineStr">
        <is>
          <t>LITHO_STUB</t>
        </is>
      </c>
      <c r="D64" t="n">
        <v>0</v>
      </c>
      <c r="E64" t="inlineStr">
        <is>
          <t>kW</t>
        </is>
      </c>
      <c r="F64" t="inlineStr">
        <is>
          <t>study</t>
        </is>
      </c>
    </row>
    <row r="65">
      <c r="A65" t="inlineStr">
        <is>
          <t>SF-REMIN</t>
        </is>
      </c>
      <c r="B65" t="inlineStr">
        <is>
          <t>SOL_ARK_60K</t>
        </is>
      </c>
      <c r="C65" t="inlineStr">
        <is>
          <t>REMIN</t>
        </is>
      </c>
      <c r="D65" t="n">
        <v>0.046</v>
      </c>
      <c r="E65" t="inlineStr">
        <is>
          <t>kW</t>
        </is>
      </c>
      <c r="F65" t="inlineStr">
        <is>
          <t>study</t>
        </is>
      </c>
    </row>
    <row r="66">
      <c r="A66" t="inlineStr">
        <is>
          <t>SF-SOLAR_PV_CELL</t>
        </is>
      </c>
      <c r="B66" t="inlineStr">
        <is>
          <t>SOL_ARK_60K</t>
        </is>
      </c>
      <c r="C66" t="inlineStr">
        <is>
          <t>SOLAR_PV_CELL</t>
        </is>
      </c>
      <c r="D66" t="n">
        <v>0.3917</v>
      </c>
      <c r="E66" t="inlineStr">
        <is>
          <t>kW</t>
        </is>
      </c>
      <c r="F66" t="inlineStr">
        <is>
          <t>study</t>
        </is>
      </c>
    </row>
    <row r="67">
      <c r="A67" t="inlineStr">
        <is>
          <t>SF-WAFER_FAB</t>
        </is>
      </c>
      <c r="B67" t="inlineStr">
        <is>
          <t>SOL_ARK_60K</t>
        </is>
      </c>
      <c r="C67" t="inlineStr">
        <is>
          <t>WAFER_FAB</t>
        </is>
      </c>
      <c r="D67" t="n">
        <v>0.4417</v>
      </c>
      <c r="E67" t="inlineStr">
        <is>
          <t>kW</t>
        </is>
      </c>
      <c r="F67" t="inlineStr">
        <is>
          <t>study</t>
        </is>
      </c>
    </row>
    <row r="68">
      <c r="A68" t="inlineStr">
        <is>
          <t>SF-WET_BENCH</t>
        </is>
      </c>
      <c r="B68" t="inlineStr">
        <is>
          <t>SOL_ARK_60K</t>
        </is>
      </c>
      <c r="C68" t="inlineStr">
        <is>
          <t>WET_BENCH</t>
        </is>
      </c>
      <c r="D68" t="n">
        <v>0.2066</v>
      </c>
      <c r="E68" t="inlineStr">
        <is>
          <t>kW</t>
        </is>
      </c>
      <c r="F68" t="inlineStr">
        <is>
          <t>study</t>
        </is>
      </c>
    </row>
    <row r="69">
      <c r="A69" t="inlineStr">
        <is>
          <t>STOCK_TO_FAB</t>
        </is>
      </c>
      <c r="B69" t="inlineStr">
        <is>
          <t>METAL_STORE</t>
        </is>
      </c>
      <c r="C69" t="inlineStr">
        <is>
          <t>WAFER_FAB</t>
        </is>
      </c>
      <c r="D69" t="n">
        <v>0</v>
      </c>
      <c r="E69" t="inlineStr">
        <is>
          <t>kg/d</t>
        </is>
      </c>
      <c r="F69" t="inlineStr">
        <is>
          <t>study</t>
        </is>
      </c>
    </row>
    <row r="70">
      <c r="A70" t="inlineStr">
        <is>
          <t>UPW_TO_FAB</t>
        </is>
      </c>
      <c r="B70" t="inlineStr">
        <is>
          <t>HDR_UPW</t>
        </is>
      </c>
      <c r="C70" t="inlineStr">
        <is>
          <t>FAB_UPW_TANK</t>
        </is>
      </c>
      <c r="F70" t="inlineStr">
        <is>
          <t>null</t>
        </is>
      </c>
    </row>
  </sheetData>
  <autoFilter ref="A1:H1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8" customWidth="1" min="3" max="3"/>
    <col width="10" customWidth="1" min="4" max="4"/>
    <col width="12" customWidth="1" min="5" max="5"/>
    <col width="16" customWidth="1" min="6" max="6"/>
    <col width="9" customWidth="1" min="7" max="7"/>
    <col width="13" customWidth="1" min="8" max="8"/>
  </cols>
  <sheetData>
    <row r="1">
      <c r="A1" s="3" t="inlineStr">
        <is>
          <t>unit_id</t>
        </is>
      </c>
      <c r="B1" s="3" t="inlineStr">
        <is>
          <t>continuous_kw</t>
        </is>
      </c>
      <c r="C1" s="3" t="inlineStr">
        <is>
          <t>kw_unit</t>
        </is>
      </c>
      <c r="D1" s="3" t="inlineStr">
        <is>
          <t>kw_status</t>
        </is>
      </c>
      <c r="E1" s="3" t="inlineStr">
        <is>
          <t>presence</t>
        </is>
      </c>
      <c r="F1" s="3" t="inlineStr">
        <is>
          <t>class</t>
        </is>
      </c>
      <c r="G1" s="3" t="inlineStr">
        <is>
          <t>enabled</t>
        </is>
      </c>
      <c r="H1" s="3" t="inlineStr">
        <is>
          <t>graph_sector</t>
        </is>
      </c>
    </row>
    <row r="2">
      <c r="A2" t="inlineStr">
        <is>
          <t>BLOW_MOLD</t>
        </is>
      </c>
      <c r="B2" s="8" t="n">
        <v>0.3691</v>
      </c>
      <c r="C2" t="inlineStr">
        <is>
          <t>kW</t>
        </is>
      </c>
      <c r="D2" t="inlineStr">
        <is>
          <t>study</t>
        </is>
      </c>
      <c r="E2" t="inlineStr">
        <is>
          <t>present</t>
        </is>
      </c>
      <c r="F2" t="inlineStr">
        <is>
          <t>former</t>
        </is>
      </c>
      <c r="G2" t="b">
        <v>1</v>
      </c>
      <c r="H2" t="inlineStr">
        <is>
          <t>MFG</t>
        </is>
      </c>
    </row>
    <row r="3">
      <c r="A3" t="inlineStr">
        <is>
          <t>COLD_MILL</t>
        </is>
      </c>
      <c r="E3" t="inlineStr">
        <is>
          <t>present</t>
        </is>
      </c>
      <c r="F3" t="inlineStr">
        <is>
          <t>forming</t>
        </is>
      </c>
      <c r="G3" t="b">
        <v>1</v>
      </c>
      <c r="H3" t="inlineStr">
        <is>
          <t>MFG</t>
        </is>
      </c>
    </row>
    <row r="4">
      <c r="A4" t="inlineStr">
        <is>
          <t>ELECTRODE_COAT</t>
        </is>
      </c>
      <c r="B4" s="8" t="n">
        <v>0.07920000000000001</v>
      </c>
      <c r="C4" t="inlineStr">
        <is>
          <t>kW</t>
        </is>
      </c>
      <c r="D4" t="inlineStr">
        <is>
          <t>study</t>
        </is>
      </c>
      <c r="E4" t="inlineStr">
        <is>
          <t>present</t>
        </is>
      </c>
      <c r="F4" t="inlineStr">
        <is>
          <t>coater</t>
        </is>
      </c>
      <c r="G4" t="b">
        <v>1</v>
      </c>
      <c r="H4" t="inlineStr">
        <is>
          <t>MFG</t>
        </is>
      </c>
    </row>
    <row r="5">
      <c r="A5" t="inlineStr">
        <is>
          <t>GAS_ATOMIZER</t>
        </is>
      </c>
      <c r="E5" t="inlineStr">
        <is>
          <t>present</t>
        </is>
      </c>
      <c r="F5" t="inlineStr">
        <is>
          <t>forming</t>
        </is>
      </c>
      <c r="G5" t="b">
        <v>1</v>
      </c>
      <c r="H5" t="inlineStr">
        <is>
          <t>MFG</t>
        </is>
      </c>
    </row>
    <row r="6">
      <c r="A6" t="inlineStr">
        <is>
          <t>MET_AHU</t>
        </is>
      </c>
      <c r="E6" t="inlineStr">
        <is>
          <t>present</t>
        </is>
      </c>
      <c r="F6" t="inlineStr">
        <is>
          <t>ahu</t>
        </is>
      </c>
      <c r="G6" t="b">
        <v>1</v>
      </c>
      <c r="H6" t="inlineStr">
        <is>
          <t>MFG</t>
        </is>
      </c>
    </row>
    <row r="7">
      <c r="A7" t="inlineStr">
        <is>
          <t>MET_HX_Q4</t>
        </is>
      </c>
      <c r="E7" t="inlineStr">
        <is>
          <t>present</t>
        </is>
      </c>
      <c r="F7" t="inlineStr">
        <is>
          <t>hx</t>
        </is>
      </c>
      <c r="G7" t="b">
        <v>1</v>
      </c>
      <c r="H7" t="inlineStr">
        <is>
          <t>MFG</t>
        </is>
      </c>
    </row>
    <row r="8">
      <c r="A8" t="inlineStr">
        <is>
          <t>MET_MELT</t>
        </is>
      </c>
      <c r="E8" t="inlineStr">
        <is>
          <t>present</t>
        </is>
      </c>
      <c r="F8" t="inlineStr">
        <is>
          <t>melt</t>
        </is>
      </c>
      <c r="G8" t="b">
        <v>1</v>
      </c>
      <c r="H8" t="inlineStr">
        <is>
          <t>MFG</t>
        </is>
      </c>
    </row>
    <row r="9">
      <c r="A9" t="inlineStr">
        <is>
          <t>MET_SCRUB</t>
        </is>
      </c>
      <c r="B9" s="8" t="n">
        <v>2.1234</v>
      </c>
      <c r="C9" t="inlineStr">
        <is>
          <t>kW</t>
        </is>
      </c>
      <c r="D9" t="inlineStr">
        <is>
          <t>study</t>
        </is>
      </c>
      <c r="E9" t="inlineStr">
        <is>
          <t>present</t>
        </is>
      </c>
      <c r="F9" t="inlineStr">
        <is>
          <t>scrubber</t>
        </is>
      </c>
      <c r="G9" t="b">
        <v>1</v>
      </c>
      <c r="H9" t="inlineStr">
        <is>
          <t>MFG</t>
        </is>
      </c>
    </row>
    <row r="10">
      <c r="A10" t="inlineStr">
        <is>
          <t>MFG_SHOP</t>
        </is>
      </c>
      <c r="B10" s="8" t="n">
        <v>2.9</v>
      </c>
      <c r="C10" t="inlineStr">
        <is>
          <t>kW</t>
        </is>
      </c>
      <c r="D10" t="inlineStr">
        <is>
          <t>study</t>
        </is>
      </c>
      <c r="E10" t="inlineStr">
        <is>
          <t>present</t>
        </is>
      </c>
      <c r="F10" t="inlineStr">
        <is>
          <t>shop</t>
        </is>
      </c>
      <c r="G10" t="b">
        <v>1</v>
      </c>
      <c r="H10" t="inlineStr">
        <is>
          <t>MFG</t>
        </is>
      </c>
    </row>
    <row r="11">
      <c r="A11" t="inlineStr">
        <is>
          <t>WIRE_DRAW</t>
        </is>
      </c>
      <c r="E11" t="inlineStr">
        <is>
          <t>present</t>
        </is>
      </c>
      <c r="F11" t="inlineStr">
        <is>
          <t>forming</t>
        </is>
      </c>
      <c r="G11" t="b">
        <v>1</v>
      </c>
      <c r="H11" t="inlineStr">
        <is>
          <t>MFG</t>
        </is>
      </c>
    </row>
    <row r="13">
      <c r="A13" s="1" t="inlineStr">
        <is>
          <t>SUBTOTAL continuous kW (SUM)</t>
        </is>
      </c>
      <c r="B13" s="10">
        <f>SUM(B2:B11)</f>
        <v/>
      </c>
    </row>
    <row r="15">
      <c r="A15" s="9" t="inlineStr">
        <is>
          <t>EDGES TOUCHING THIS SECTOR (from or to)</t>
        </is>
      </c>
    </row>
    <row r="16">
      <c r="A16" s="3" t="inlineStr">
        <is>
          <t>stream_id</t>
        </is>
      </c>
      <c r="B16" s="3" t="inlineStr">
        <is>
          <t>from_unit</t>
        </is>
      </c>
      <c r="C16" s="3" t="inlineStr">
        <is>
          <t>to_unit</t>
        </is>
      </c>
      <c r="D16" s="3" t="inlineStr">
        <is>
          <t>rate</t>
        </is>
      </c>
      <c r="E16" s="3" t="inlineStr">
        <is>
          <t>unit</t>
        </is>
      </c>
      <c r="F16" s="3" t="inlineStr">
        <is>
          <t>status</t>
        </is>
      </c>
    </row>
    <row r="17">
      <c r="A17" t="inlineStr">
        <is>
          <t>ATOM_TO_STOCK</t>
        </is>
      </c>
      <c r="B17" t="inlineStr">
        <is>
          <t>GAS_ATOMIZER</t>
        </is>
      </c>
      <c r="C17" t="inlineStr">
        <is>
          <t>STOCK_OUT</t>
        </is>
      </c>
      <c r="D17" t="n">
        <v>0</v>
      </c>
      <c r="E17" t="inlineStr">
        <is>
          <t>kg/d</t>
        </is>
      </c>
      <c r="F17" t="inlineStr">
        <is>
          <t>study</t>
        </is>
      </c>
    </row>
    <row r="18">
      <c r="A18" t="inlineStr">
        <is>
          <t>COMB_OFFGAS</t>
        </is>
      </c>
      <c r="B18" t="inlineStr">
        <is>
          <t>COMB_HEAT</t>
        </is>
      </c>
      <c r="C18" t="inlineStr">
        <is>
          <t>MET_SCRUB</t>
        </is>
      </c>
      <c r="D18" t="n">
        <v>0</v>
      </c>
      <c r="E18" t="inlineStr">
        <is>
          <t>kg/d</t>
        </is>
      </c>
      <c r="F18" t="inlineStr">
        <is>
          <t>study</t>
        </is>
      </c>
    </row>
    <row r="19">
      <c r="A19" t="inlineStr">
        <is>
          <t>CUT-3-OUT</t>
        </is>
      </c>
      <c r="B19" t="inlineStr">
        <is>
          <t>PROD_C19_C28</t>
        </is>
      </c>
      <c r="C19" t="inlineStr">
        <is>
          <t>MFG_SHOP</t>
        </is>
      </c>
      <c r="D19" t="n">
        <v>3.947559</v>
      </c>
      <c r="E19" t="inlineStr">
        <is>
          <t>kg/d</t>
        </is>
      </c>
      <c r="F19" t="inlineStr">
        <is>
          <t>study</t>
        </is>
      </c>
    </row>
    <row r="20">
      <c r="A20" t="inlineStr">
        <is>
          <t>FLUORO_TO_MFG</t>
        </is>
      </c>
      <c r="B20" t="inlineStr">
        <is>
          <t>POLY_STOCK</t>
        </is>
      </c>
      <c r="C20" t="inlineStr">
        <is>
          <t>MFG_SHOP</t>
        </is>
      </c>
      <c r="D20" t="n">
        <v>0.23</v>
      </c>
      <c r="E20" t="inlineStr">
        <is>
          <t>kg/d</t>
        </is>
      </c>
      <c r="F20" t="inlineStr">
        <is>
          <t>study</t>
        </is>
      </c>
    </row>
    <row r="21">
      <c r="A21" t="inlineStr">
        <is>
          <t>GREASE_CA_TO_MFG</t>
        </is>
      </c>
      <c r="B21" t="inlineStr">
        <is>
          <t>GREASE_CA</t>
        </is>
      </c>
      <c r="C21" t="inlineStr">
        <is>
          <t>MFG_SHOP</t>
        </is>
      </c>
      <c r="F21" t="inlineStr">
        <is>
          <t>null</t>
        </is>
      </c>
    </row>
    <row r="22">
      <c r="A22" t="inlineStr">
        <is>
          <t>GREASE_LI_TO_MFG</t>
        </is>
      </c>
      <c r="B22" t="inlineStr">
        <is>
          <t>GREASE_LI</t>
        </is>
      </c>
      <c r="C22" t="inlineStr">
        <is>
          <t>MFG_SHOP</t>
        </is>
      </c>
      <c r="F22" t="inlineStr">
        <is>
          <t>null</t>
        </is>
      </c>
    </row>
    <row r="23">
      <c r="A23" t="inlineStr">
        <is>
          <t>IA-ATOM-REMELT</t>
        </is>
      </c>
      <c r="B23" t="inlineStr">
        <is>
          <t>GAS_ATOMIZER</t>
        </is>
      </c>
      <c r="C23" t="inlineStr">
        <is>
          <t>MET_MELT</t>
        </is>
      </c>
      <c r="D23" t="n">
        <v>0.355595</v>
      </c>
      <c r="E23" t="inlineStr">
        <is>
          <t>kg/d</t>
        </is>
      </c>
      <c r="F23" t="inlineStr">
        <is>
          <t>study</t>
        </is>
      </c>
    </row>
    <row r="24">
      <c r="A24" t="inlineStr">
        <is>
          <t>IA-BLOW-IN</t>
        </is>
      </c>
      <c r="B24" t="inlineStr">
        <is>
          <t>PROD_C11_C18</t>
        </is>
      </c>
      <c r="C24" t="inlineStr">
        <is>
          <t>BLOW_MOLD</t>
        </is>
      </c>
      <c r="D24" t="n">
        <v>8.407159</v>
      </c>
      <c r="E24" t="inlineStr">
        <is>
          <t>kg/d</t>
        </is>
      </c>
      <c r="F24" t="inlineStr">
        <is>
          <t>study</t>
        </is>
      </c>
    </row>
    <row r="25">
      <c r="A25" t="inlineStr">
        <is>
          <t>IA-BLOW-OUT</t>
        </is>
      </c>
      <c r="B25" t="inlineStr">
        <is>
          <t>BLOW_MOLD</t>
        </is>
      </c>
      <c r="C25" t="inlineStr">
        <is>
          <t>MFG_SHOP</t>
        </is>
      </c>
      <c r="D25" t="n">
        <v>8.407518</v>
      </c>
      <c r="E25" t="inlineStr">
        <is>
          <t>kg/d</t>
        </is>
      </c>
      <c r="F25" t="inlineStr">
        <is>
          <t>study</t>
        </is>
      </c>
    </row>
    <row r="26">
      <c r="A26" t="inlineStr">
        <is>
          <t>IA-CHAR</t>
        </is>
      </c>
      <c r="B26" t="inlineStr">
        <is>
          <t>OIL_PYRO</t>
        </is>
      </c>
      <c r="C26" t="inlineStr">
        <is>
          <t>MFG_SHOP</t>
        </is>
      </c>
      <c r="D26" t="n">
        <v>5.5</v>
      </c>
      <c r="E26" t="inlineStr">
        <is>
          <t>kg/d</t>
        </is>
      </c>
      <c r="F26" t="inlineStr">
        <is>
          <t>study</t>
        </is>
      </c>
    </row>
    <row r="27">
      <c r="A27" t="inlineStr">
        <is>
          <t>IA-COAT-IN</t>
        </is>
      </c>
      <c r="B27" t="inlineStr">
        <is>
          <t>EW_1</t>
        </is>
      </c>
      <c r="C27" t="inlineStr">
        <is>
          <t>ELECTRODE_COAT</t>
        </is>
      </c>
      <c r="D27" t="n">
        <v>0.02</v>
      </c>
      <c r="E27" t="inlineStr">
        <is>
          <t>kg/d</t>
        </is>
      </c>
      <c r="F27" t="inlineStr">
        <is>
          <t>study</t>
        </is>
      </c>
    </row>
    <row r="28">
      <c r="A28" t="inlineStr">
        <is>
          <t>IA-COAT-OUT</t>
        </is>
      </c>
      <c r="B28" t="inlineStr">
        <is>
          <t>ELECTRODE_COAT</t>
        </is>
      </c>
      <c r="C28" t="inlineStr">
        <is>
          <t>EW_1</t>
        </is>
      </c>
      <c r="D28" t="n">
        <v>0.02</v>
      </c>
      <c r="E28" t="inlineStr">
        <is>
          <t>kg/d</t>
        </is>
      </c>
      <c r="F28" t="inlineStr">
        <is>
          <t>study</t>
        </is>
      </c>
    </row>
    <row r="29">
      <c r="A29" t="inlineStr">
        <is>
          <t>IA-DRAW-FUME</t>
        </is>
      </c>
      <c r="B29" t="inlineStr">
        <is>
          <t>WIRE_DRAW</t>
        </is>
      </c>
      <c r="C29" t="inlineStr">
        <is>
          <t>MET_SCRUB</t>
        </is>
      </c>
      <c r="D29" t="n">
        <v>2.46</v>
      </c>
      <c r="E29" t="inlineStr">
        <is>
          <t>kg/d</t>
        </is>
      </c>
      <c r="F29" t="inlineStr">
        <is>
          <t>study</t>
        </is>
      </c>
    </row>
    <row r="30">
      <c r="A30" t="inlineStr">
        <is>
          <t>IA-EW-MET-1</t>
        </is>
      </c>
      <c r="B30" t="inlineStr">
        <is>
          <t>EW_1</t>
        </is>
      </c>
      <c r="C30" t="inlineStr">
        <is>
          <t>MFG_SHOP</t>
        </is>
      </c>
      <c r="D30" t="n">
        <v>59.869999</v>
      </c>
      <c r="E30" t="inlineStr">
        <is>
          <t>kg/d</t>
        </is>
      </c>
      <c r="F30" t="inlineStr">
        <is>
          <t>study</t>
        </is>
      </c>
    </row>
    <row r="31">
      <c r="A31" t="inlineStr">
        <is>
          <t>IA-EW-MET-2</t>
        </is>
      </c>
      <c r="B31" t="inlineStr">
        <is>
          <t>EW_2</t>
        </is>
      </c>
      <c r="C31" t="inlineStr">
        <is>
          <t>MFG_SHOP</t>
        </is>
      </c>
      <c r="D31" t="n">
        <v>59.889999</v>
      </c>
      <c r="E31" t="inlineStr">
        <is>
          <t>kg/d</t>
        </is>
      </c>
      <c r="F31" t="inlineStr">
        <is>
          <t>study</t>
        </is>
      </c>
    </row>
    <row r="32">
      <c r="A32" t="inlineStr">
        <is>
          <t>IA-EW-MET-3</t>
        </is>
      </c>
      <c r="B32" t="inlineStr">
        <is>
          <t>EW_3</t>
        </is>
      </c>
      <c r="C32" t="inlineStr">
        <is>
          <t>MFG_SHOP</t>
        </is>
      </c>
      <c r="D32" t="n">
        <v>22.480359</v>
      </c>
      <c r="E32" t="inlineStr">
        <is>
          <t>kg/d</t>
        </is>
      </c>
      <c r="F32" t="inlineStr">
        <is>
          <t>study</t>
        </is>
      </c>
    </row>
    <row r="33">
      <c r="A33" t="inlineStr">
        <is>
          <t>IA-EW-MET-4</t>
        </is>
      </c>
      <c r="B33" t="inlineStr">
        <is>
          <t>EW_4</t>
        </is>
      </c>
      <c r="C33" t="inlineStr">
        <is>
          <t>MFG_SHOP</t>
        </is>
      </c>
      <c r="D33" t="n">
        <v>4.85</v>
      </c>
      <c r="E33" t="inlineStr">
        <is>
          <t>kg/d</t>
        </is>
      </c>
      <c r="F33" t="inlineStr">
        <is>
          <t>study</t>
        </is>
      </c>
    </row>
    <row r="34">
      <c r="A34" t="inlineStr">
        <is>
          <t>IA-EW-MET-5</t>
        </is>
      </c>
      <c r="B34" t="inlineStr">
        <is>
          <t>EW_5</t>
        </is>
      </c>
      <c r="C34" t="inlineStr">
        <is>
          <t>MFG_SHOP</t>
        </is>
      </c>
      <c r="D34" t="n">
        <v>5.020359</v>
      </c>
      <c r="E34" t="inlineStr">
        <is>
          <t>kg/d</t>
        </is>
      </c>
      <c r="F34" t="inlineStr">
        <is>
          <t>study</t>
        </is>
      </c>
    </row>
    <row r="35">
      <c r="A35" t="inlineStr">
        <is>
          <t>IA-EW-MET-6</t>
        </is>
      </c>
      <c r="B35" t="inlineStr">
        <is>
          <t>EW_6</t>
        </is>
      </c>
      <c r="C35" t="inlineStr">
        <is>
          <t>MFG_SHOP</t>
        </is>
      </c>
      <c r="D35" t="n">
        <v>5.470359</v>
      </c>
      <c r="E35" t="inlineStr">
        <is>
          <t>kg/d</t>
        </is>
      </c>
      <c r="F35" t="inlineStr">
        <is>
          <t>study</t>
        </is>
      </c>
    </row>
    <row r="36">
      <c r="A36" t="inlineStr">
        <is>
          <t>IA-EW-MET-7</t>
        </is>
      </c>
      <c r="B36" t="inlineStr">
        <is>
          <t>EW_7</t>
        </is>
      </c>
      <c r="C36" t="inlineStr">
        <is>
          <t>MFG_SHOP</t>
        </is>
      </c>
      <c r="D36" t="n">
        <v>71.139999</v>
      </c>
      <c r="E36" t="inlineStr">
        <is>
          <t>kg/d</t>
        </is>
      </c>
      <c r="F36" t="inlineStr">
        <is>
          <t>study</t>
        </is>
      </c>
    </row>
    <row r="37">
      <c r="A37" t="inlineStr">
        <is>
          <t>IA-EW-MET-8</t>
        </is>
      </c>
      <c r="B37" t="inlineStr">
        <is>
          <t>EW_8</t>
        </is>
      </c>
      <c r="C37" t="inlineStr">
        <is>
          <t>MFG_SHOP</t>
        </is>
      </c>
      <c r="D37" t="n">
        <v>5.050359</v>
      </c>
      <c r="E37" t="inlineStr">
        <is>
          <t>kg/d</t>
        </is>
      </c>
      <c r="F37" t="inlineStr">
        <is>
          <t>study</t>
        </is>
      </c>
    </row>
    <row r="38">
      <c r="A38" t="inlineStr">
        <is>
          <t>IA-EW-MET-9</t>
        </is>
      </c>
      <c r="B38" t="inlineStr">
        <is>
          <t>EW_9</t>
        </is>
      </c>
      <c r="C38" t="inlineStr">
        <is>
          <t>MFG_SHOP</t>
        </is>
      </c>
      <c r="D38" t="n">
        <v>61.341099</v>
      </c>
      <c r="E38" t="inlineStr">
        <is>
          <t>kg/d</t>
        </is>
      </c>
      <c r="F38" t="inlineStr">
        <is>
          <t>study</t>
        </is>
      </c>
    </row>
    <row r="39">
      <c r="A39" t="inlineStr">
        <is>
          <t>IA-EW-SHEET</t>
        </is>
      </c>
      <c r="B39" t="inlineStr">
        <is>
          <t>EW_9</t>
        </is>
      </c>
      <c r="C39" t="inlineStr">
        <is>
          <t>MET_MELT</t>
        </is>
      </c>
      <c r="D39" t="n">
        <v>13.9889</v>
      </c>
      <c r="E39" t="inlineStr">
        <is>
          <t>kg/d</t>
        </is>
      </c>
      <c r="F39" t="inlineStr">
        <is>
          <t>study</t>
        </is>
      </c>
    </row>
    <row r="40">
      <c r="A40" t="inlineStr">
        <is>
          <t>IA-MELT-ATOM</t>
        </is>
      </c>
      <c r="B40" t="inlineStr">
        <is>
          <t>MET_MELT</t>
        </is>
      </c>
      <c r="C40" t="inlineStr">
        <is>
          <t>GAS_ATOMIZER</t>
        </is>
      </c>
      <c r="D40" t="n">
        <v>3.555954</v>
      </c>
      <c r="E40" t="inlineStr">
        <is>
          <t>kg/d</t>
        </is>
      </c>
      <c r="F40" t="inlineStr">
        <is>
          <t>study</t>
        </is>
      </c>
    </row>
    <row r="41">
      <c r="A41" t="inlineStr">
        <is>
          <t>IA-MELT-MILL</t>
        </is>
      </c>
      <c r="B41" t="inlineStr">
        <is>
          <t>MET_MELT</t>
        </is>
      </c>
      <c r="C41" t="inlineStr">
        <is>
          <t>COLD_MILL</t>
        </is>
      </c>
      <c r="D41" t="n">
        <v>3.949641</v>
      </c>
      <c r="E41" t="inlineStr">
        <is>
          <t>kg/d</t>
        </is>
      </c>
      <c r="F41" t="inlineStr">
        <is>
          <t>study</t>
        </is>
      </c>
    </row>
    <row r="42">
      <c r="A42" t="inlineStr">
        <is>
          <t>IA-MET-AIR-RET</t>
        </is>
      </c>
      <c r="B42" t="inlineStr">
        <is>
          <t>MET_SCRUB</t>
        </is>
      </c>
      <c r="C42" t="inlineStr">
        <is>
          <t>MET_AHU</t>
        </is>
      </c>
      <c r="D42" t="n">
        <v>71604</v>
      </c>
      <c r="E42" t="inlineStr">
        <is>
          <t>kg/d</t>
        </is>
      </c>
      <c r="F42" t="inlineStr">
        <is>
          <t>study</t>
        </is>
      </c>
    </row>
    <row r="43">
      <c r="A43" t="inlineStr">
        <is>
          <t>IA-METAL-SHIP</t>
        </is>
      </c>
      <c r="B43" t="inlineStr">
        <is>
          <t>METAL_STORE</t>
        </is>
      </c>
      <c r="C43" t="inlineStr">
        <is>
          <t>NORTH_DOCK</t>
        </is>
      </c>
      <c r="D43" t="n">
        <v>10.8125</v>
      </c>
      <c r="E43" t="inlineStr">
        <is>
          <t>kg/d</t>
        </is>
      </c>
      <c r="F43" t="inlineStr">
        <is>
          <t>study</t>
        </is>
      </c>
    </row>
    <row r="44">
      <c r="A44" t="inlineStr">
        <is>
          <t>IA-MFG-OUT</t>
        </is>
      </c>
      <c r="B44" t="inlineStr">
        <is>
          <t>MFG_SHOP</t>
        </is>
      </c>
      <c r="C44" t="inlineStr">
        <is>
          <t>HABITATION</t>
        </is>
      </c>
      <c r="D44" t="n">
        <v>596.862802</v>
      </c>
      <c r="E44" t="inlineStr">
        <is>
          <t>kg/d</t>
        </is>
      </c>
      <c r="F44" t="inlineStr">
        <is>
          <t>study</t>
        </is>
      </c>
    </row>
    <row r="45">
      <c r="A45" t="inlineStr">
        <is>
          <t>IA-POL-CAKE</t>
        </is>
      </c>
      <c r="B45" t="inlineStr">
        <is>
          <t>POLISH_BANK</t>
        </is>
      </c>
      <c r="C45" t="inlineStr">
        <is>
          <t>MFG_SHOP</t>
        </is>
      </c>
      <c r="D45" t="n">
        <v>217.369993</v>
      </c>
      <c r="E45" t="inlineStr">
        <is>
          <t>kg/d</t>
        </is>
      </c>
      <c r="F45" t="inlineStr">
        <is>
          <t>study</t>
        </is>
      </c>
    </row>
    <row r="46">
      <c r="A46" t="inlineStr">
        <is>
          <t>IA-WIRE-LOSS</t>
        </is>
      </c>
      <c r="B46" t="inlineStr">
        <is>
          <t>WIRE_DRAW</t>
        </is>
      </c>
      <c r="C46" t="inlineStr">
        <is>
          <t>BAGHOUSE</t>
        </is>
      </c>
      <c r="D46" t="n">
        <v>0.44</v>
      </c>
      <c r="E46" t="inlineStr">
        <is>
          <t>kg/d</t>
        </is>
      </c>
      <c r="F46" t="inlineStr">
        <is>
          <t>study</t>
        </is>
      </c>
    </row>
    <row r="47">
      <c r="A47" t="inlineStr">
        <is>
          <t>IND_HEAT_TO_HX</t>
        </is>
      </c>
      <c r="B47" t="inlineStr">
        <is>
          <t>IND_MELT</t>
        </is>
      </c>
      <c r="C47" t="inlineStr">
        <is>
          <t>MET_HX_Q4</t>
        </is>
      </c>
      <c r="D47" t="n">
        <v>1.063</v>
      </c>
      <c r="E47" t="inlineStr">
        <is>
          <t>kW</t>
        </is>
      </c>
      <c r="F47" t="inlineStr">
        <is>
          <t>study</t>
        </is>
      </c>
    </row>
    <row r="48">
      <c r="A48" t="inlineStr">
        <is>
          <t>IND_TO_ATOM</t>
        </is>
      </c>
      <c r="B48" t="inlineStr">
        <is>
          <t>IND_MELT</t>
        </is>
      </c>
      <c r="C48" t="inlineStr">
        <is>
          <t>GAS_ATOMIZER</t>
        </is>
      </c>
      <c r="D48" t="n">
        <v>0</v>
      </c>
      <c r="E48" t="inlineStr">
        <is>
          <t>kg/d</t>
        </is>
      </c>
      <c r="F48" t="inlineStr">
        <is>
          <t>study</t>
        </is>
      </c>
    </row>
    <row r="49">
      <c r="A49" t="inlineStr">
        <is>
          <t>MFG_SCRAP_TO_IND</t>
        </is>
      </c>
      <c r="B49" t="inlineStr">
        <is>
          <t>MFG_SHOP</t>
        </is>
      </c>
      <c r="C49" t="inlineStr">
        <is>
          <t>IND_MELT</t>
        </is>
      </c>
      <c r="D49" t="n">
        <v>26.161616</v>
      </c>
      <c r="E49" t="inlineStr">
        <is>
          <t>kg/d</t>
        </is>
      </c>
      <c r="F49" t="inlineStr">
        <is>
          <t>study</t>
        </is>
      </c>
    </row>
    <row r="50">
      <c r="A50" t="inlineStr">
        <is>
          <t>POLY_TO_MFG</t>
        </is>
      </c>
      <c r="B50" t="inlineStr">
        <is>
          <t>POLY_STOCK</t>
        </is>
      </c>
      <c r="C50" t="inlineStr">
        <is>
          <t>MFG_SHOP</t>
        </is>
      </c>
      <c r="D50" t="n">
        <v>0.267388</v>
      </c>
      <c r="E50" t="inlineStr">
        <is>
          <t>kg/d</t>
        </is>
      </c>
      <c r="F50" t="inlineStr">
        <is>
          <t>study</t>
        </is>
      </c>
    </row>
    <row r="51">
      <c r="A51" t="inlineStr">
        <is>
          <t>S08</t>
        </is>
      </c>
      <c r="B51" t="inlineStr">
        <is>
          <t>LEACH_CSTR_1</t>
        </is>
      </c>
      <c r="C51" t="inlineStr">
        <is>
          <t>MFG_SHOP</t>
        </is>
      </c>
      <c r="D51" t="n">
        <v>41.996408</v>
      </c>
      <c r="E51" t="inlineStr">
        <is>
          <t>kg/d</t>
        </is>
      </c>
      <c r="F51" t="inlineStr">
        <is>
          <t>study</t>
        </is>
      </c>
    </row>
    <row r="52">
      <c r="A52" t="inlineStr">
        <is>
          <t>S08G</t>
        </is>
      </c>
      <c r="B52" t="inlineStr">
        <is>
          <t>GLASS_DIGEST</t>
        </is>
      </c>
      <c r="C52" t="inlineStr">
        <is>
          <t>MFG_SHOP</t>
        </is>
      </c>
      <c r="D52" t="n">
        <v>26.7</v>
      </c>
      <c r="E52" t="inlineStr">
        <is>
          <t>kg/d</t>
        </is>
      </c>
      <c r="F52" t="inlineStr">
        <is>
          <t>study</t>
        </is>
      </c>
    </row>
    <row r="53">
      <c r="A53" t="inlineStr">
        <is>
          <t>S16</t>
        </is>
      </c>
      <c r="B53" t="inlineStr">
        <is>
          <t>MFG_SHOP</t>
        </is>
      </c>
      <c r="C53" t="inlineStr">
        <is>
          <t>LEACH_CSTR_1</t>
        </is>
      </c>
      <c r="D53" t="n">
        <v>12.299499</v>
      </c>
      <c r="E53" t="inlineStr">
        <is>
          <t>kg/d</t>
        </is>
      </c>
      <c r="F53" t="inlineStr">
        <is>
          <t>study</t>
        </is>
      </c>
    </row>
    <row r="54">
      <c r="A54" t="inlineStr">
        <is>
          <t>S57</t>
        </is>
      </c>
      <c r="B54" t="inlineStr">
        <is>
          <t>MET_MELT</t>
        </is>
      </c>
      <c r="C54" t="inlineStr">
        <is>
          <t>WIRE_DRAW</t>
        </is>
      </c>
      <c r="D54" t="n">
        <v>6.8389</v>
      </c>
      <c r="E54" t="inlineStr">
        <is>
          <t>kg/d</t>
        </is>
      </c>
      <c r="F54" t="inlineStr">
        <is>
          <t>study</t>
        </is>
      </c>
    </row>
    <row r="55">
      <c r="A55" t="inlineStr">
        <is>
          <t>S58</t>
        </is>
      </c>
      <c r="B55" t="inlineStr">
        <is>
          <t>WIRE_DRAW</t>
        </is>
      </c>
      <c r="C55" t="inlineStr">
        <is>
          <t>MFG_SHOP</t>
        </is>
      </c>
      <c r="D55" t="n">
        <v>3.9389</v>
      </c>
      <c r="E55" t="inlineStr">
        <is>
          <t>kg/d</t>
        </is>
      </c>
      <c r="F55" t="inlineStr">
        <is>
          <t>study</t>
        </is>
      </c>
    </row>
    <row r="56">
      <c r="A56" t="inlineStr">
        <is>
          <t>S59</t>
        </is>
      </c>
      <c r="B56" t="inlineStr">
        <is>
          <t>COLD_MILL</t>
        </is>
      </c>
      <c r="C56" t="inlineStr">
        <is>
          <t>MFG_SHOP</t>
        </is>
      </c>
      <c r="D56" t="n">
        <v>3.950359</v>
      </c>
      <c r="E56" t="inlineStr">
        <is>
          <t>kg/d</t>
        </is>
      </c>
      <c r="F56" t="inlineStr">
        <is>
          <t>study</t>
        </is>
      </c>
    </row>
    <row r="57">
      <c r="A57" t="inlineStr">
        <is>
          <t>S60</t>
        </is>
      </c>
      <c r="B57" t="inlineStr">
        <is>
          <t>GAS_ATOMIZER</t>
        </is>
      </c>
      <c r="C57" t="inlineStr">
        <is>
          <t>MFG_SHOP</t>
        </is>
      </c>
      <c r="D57" t="n">
        <v>3.200359</v>
      </c>
      <c r="E57" t="inlineStr">
        <is>
          <t>kg/d</t>
        </is>
      </c>
      <c r="F57" t="inlineStr">
        <is>
          <t>study</t>
        </is>
      </c>
    </row>
    <row r="58">
      <c r="A58" t="inlineStr">
        <is>
          <t>S61</t>
        </is>
      </c>
      <c r="B58" t="inlineStr">
        <is>
          <t>MFG_SHOP</t>
        </is>
      </c>
      <c r="C58" t="inlineStr">
        <is>
          <t>HOPPER</t>
        </is>
      </c>
      <c r="D58" t="n">
        <v>1.197099</v>
      </c>
      <c r="E58" t="inlineStr">
        <is>
          <t>kg/d</t>
        </is>
      </c>
      <c r="F58" t="inlineStr">
        <is>
          <t>study</t>
        </is>
      </c>
    </row>
    <row r="59">
      <c r="A59" t="inlineStr">
        <is>
          <t>S62</t>
        </is>
      </c>
      <c r="B59" t="inlineStr">
        <is>
          <t>MET_AHU</t>
        </is>
      </c>
      <c r="C59" t="inlineStr">
        <is>
          <t>MET_SCRUB</t>
        </is>
      </c>
      <c r="D59" t="n">
        <v>51145.68</v>
      </c>
      <c r="E59" t="inlineStr">
        <is>
          <t>kg/d</t>
        </is>
      </c>
      <c r="F59" t="inlineStr">
        <is>
          <t>study</t>
        </is>
      </c>
    </row>
    <row r="60">
      <c r="A60" t="inlineStr">
        <is>
          <t>S63</t>
        </is>
      </c>
      <c r="B60" t="inlineStr">
        <is>
          <t>MET_HX_Q4</t>
        </is>
      </c>
      <c r="C60" t="inlineStr">
        <is>
          <t>Q4_BUS</t>
        </is>
      </c>
      <c r="D60" t="n">
        <v>0.0171</v>
      </c>
      <c r="E60" t="inlineStr">
        <is>
          <t>kW</t>
        </is>
      </c>
      <c r="F60" t="inlineStr">
        <is>
          <t>study</t>
        </is>
      </c>
    </row>
    <row r="61">
      <c r="A61" t="inlineStr">
        <is>
          <t>S71</t>
        </is>
      </c>
      <c r="B61" t="inlineStr">
        <is>
          <t>MET_AHU</t>
        </is>
      </c>
      <c r="C61" t="inlineStr">
        <is>
          <t>MET_SCRUB</t>
        </is>
      </c>
      <c r="D61" t="n">
        <v>20458.32</v>
      </c>
      <c r="E61" t="inlineStr">
        <is>
          <t>kg/d</t>
        </is>
      </c>
      <c r="F61" t="inlineStr">
        <is>
          <t>study</t>
        </is>
      </c>
    </row>
    <row r="62">
      <c r="A62" t="inlineStr">
        <is>
          <t>S72</t>
        </is>
      </c>
      <c r="B62" t="inlineStr">
        <is>
          <t>MET_SCRUB</t>
        </is>
      </c>
      <c r="C62" t="inlineStr">
        <is>
          <t>LEACH_CSTR_1</t>
        </is>
      </c>
      <c r="D62" t="n">
        <v>2.4442</v>
      </c>
      <c r="E62" t="inlineStr">
        <is>
          <t>kg/d</t>
        </is>
      </c>
      <c r="F62" t="inlineStr">
        <is>
          <t>study</t>
        </is>
      </c>
    </row>
    <row r="63">
      <c r="A63" t="inlineStr">
        <is>
          <t>S72B</t>
        </is>
      </c>
      <c r="B63" t="inlineStr">
        <is>
          <t>MET_SCRUB</t>
        </is>
      </c>
      <c r="C63" t="inlineStr">
        <is>
          <t>OIL_FRAC</t>
        </is>
      </c>
      <c r="D63" t="n">
        <v>0.0158</v>
      </c>
      <c r="E63" t="inlineStr">
        <is>
          <t>kg/d</t>
        </is>
      </c>
      <c r="F63" t="inlineStr">
        <is>
          <t>study</t>
        </is>
      </c>
    </row>
    <row r="64">
      <c r="A64" t="inlineStr">
        <is>
          <t>SF-BLOW_MOLD</t>
        </is>
      </c>
      <c r="B64" t="inlineStr">
        <is>
          <t>SOL_ARK_60K</t>
        </is>
      </c>
      <c r="C64" t="inlineStr">
        <is>
          <t>BLOW_MOLD</t>
        </is>
      </c>
      <c r="D64" t="n">
        <v>0.3691</v>
      </c>
      <c r="E64" t="inlineStr">
        <is>
          <t>kW</t>
        </is>
      </c>
      <c r="F64" t="inlineStr">
        <is>
          <t>study</t>
        </is>
      </c>
    </row>
    <row r="65">
      <c r="A65" t="inlineStr">
        <is>
          <t>SF-ELECTRODE_COAT</t>
        </is>
      </c>
      <c r="B65" t="inlineStr">
        <is>
          <t>SOL_ARK_60K</t>
        </is>
      </c>
      <c r="C65" t="inlineStr">
        <is>
          <t>ELECTRODE_COAT</t>
        </is>
      </c>
      <c r="D65" t="n">
        <v>0.07920000000000001</v>
      </c>
      <c r="E65" t="inlineStr">
        <is>
          <t>kW</t>
        </is>
      </c>
      <c r="F65" t="inlineStr">
        <is>
          <t>study</t>
        </is>
      </c>
    </row>
    <row r="66">
      <c r="A66" t="inlineStr">
        <is>
          <t>SF-MET_SCRUB</t>
        </is>
      </c>
      <c r="B66" t="inlineStr">
        <is>
          <t>SOL_ARK_60K</t>
        </is>
      </c>
      <c r="C66" t="inlineStr">
        <is>
          <t>MET_SCRUB</t>
        </is>
      </c>
      <c r="D66" t="n">
        <v>2.1234</v>
      </c>
      <c r="E66" t="inlineStr">
        <is>
          <t>kW</t>
        </is>
      </c>
      <c r="F66" t="inlineStr">
        <is>
          <t>study</t>
        </is>
      </c>
    </row>
    <row r="67">
      <c r="A67" t="inlineStr">
        <is>
          <t>SF-MFG_SHOP</t>
        </is>
      </c>
      <c r="B67" t="inlineStr">
        <is>
          <t>SOL_ARK_60K</t>
        </is>
      </c>
      <c r="C67" t="inlineStr">
        <is>
          <t>MFG_SHOP</t>
        </is>
      </c>
      <c r="D67" t="n">
        <v>2.9</v>
      </c>
      <c r="E67" t="inlineStr">
        <is>
          <t>kW</t>
        </is>
      </c>
      <c r="F67" t="inlineStr">
        <is>
          <t>study</t>
        </is>
      </c>
    </row>
    <row r="68">
      <c r="A68" t="inlineStr">
        <is>
          <t>STOCK_TO_MFG</t>
        </is>
      </c>
      <c r="B68" t="inlineStr">
        <is>
          <t>METAL_STORE</t>
        </is>
      </c>
      <c r="C68" t="inlineStr">
        <is>
          <t>MFG_SHOP</t>
        </is>
      </c>
      <c r="D68" t="n">
        <v>25.9</v>
      </c>
      <c r="E68" t="inlineStr">
        <is>
          <t>kg/d</t>
        </is>
      </c>
      <c r="F68" t="inlineStr">
        <is>
          <t>study</t>
        </is>
      </c>
    </row>
    <row r="69">
      <c r="A69" t="inlineStr">
        <is>
          <t>STOCK_TO_WIRE_DRAW</t>
        </is>
      </c>
      <c r="B69" t="inlineStr">
        <is>
          <t>METAL_STORE</t>
        </is>
      </c>
      <c r="C69" t="inlineStr">
        <is>
          <t>WIRE_DRAW</t>
        </is>
      </c>
      <c r="D69" t="n">
        <v>0</v>
      </c>
      <c r="E69" t="inlineStr">
        <is>
          <t>kg/d</t>
        </is>
      </c>
      <c r="F69" t="inlineStr">
        <is>
          <t>study</t>
        </is>
      </c>
    </row>
    <row r="70">
      <c r="A70" t="inlineStr">
        <is>
          <t>VAC_HEAT_TO_HX</t>
        </is>
      </c>
      <c r="B70" t="inlineStr">
        <is>
          <t>VAC_IND</t>
        </is>
      </c>
      <c r="C70" t="inlineStr">
        <is>
          <t>MET_HX_Q4</t>
        </is>
      </c>
      <c r="D70" t="n">
        <v>0.638</v>
      </c>
      <c r="E70" t="inlineStr">
        <is>
          <t>kW</t>
        </is>
      </c>
      <c r="F70" t="inlineStr">
        <is>
          <t>study</t>
        </is>
      </c>
    </row>
  </sheetData>
  <autoFilter ref="A1:H1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8" customWidth="1" min="3" max="3"/>
    <col width="10" customWidth="1" min="4" max="4"/>
    <col width="12" customWidth="1" min="5" max="5"/>
    <col width="16" customWidth="1" min="6" max="6"/>
    <col width="9" customWidth="1" min="7" max="7"/>
    <col width="13" customWidth="1" min="8" max="8"/>
  </cols>
  <sheetData>
    <row r="1">
      <c r="A1" s="3" t="inlineStr">
        <is>
          <t>unit_id</t>
        </is>
      </c>
      <c r="B1" s="3" t="inlineStr">
        <is>
          <t>continuous_kw</t>
        </is>
      </c>
      <c r="C1" s="3" t="inlineStr">
        <is>
          <t>kw_unit</t>
        </is>
      </c>
      <c r="D1" s="3" t="inlineStr">
        <is>
          <t>kw_status</t>
        </is>
      </c>
      <c r="E1" s="3" t="inlineStr">
        <is>
          <t>presence</t>
        </is>
      </c>
      <c r="F1" s="3" t="inlineStr">
        <is>
          <t>class</t>
        </is>
      </c>
      <c r="G1" s="3" t="inlineStr">
        <is>
          <t>enabled</t>
        </is>
      </c>
      <c r="H1" s="3" t="inlineStr">
        <is>
          <t>graph_sector</t>
        </is>
      </c>
    </row>
    <row r="2">
      <c r="A2" t="inlineStr">
        <is>
          <t>AL_POT</t>
        </is>
      </c>
      <c r="B2" s="8" t="n">
        <v>5.6578</v>
      </c>
      <c r="C2" t="inlineStr">
        <is>
          <t>kW</t>
        </is>
      </c>
      <c r="D2" t="inlineStr">
        <is>
          <t>study</t>
        </is>
      </c>
      <c r="E2" t="inlineStr">
        <is>
          <t>present</t>
        </is>
      </c>
      <c r="F2" t="inlineStr">
        <is>
          <t>cell</t>
        </is>
      </c>
      <c r="G2" t="b">
        <v>1</v>
      </c>
      <c r="H2" t="inlineStr">
        <is>
          <t>FOUNDRY</t>
        </is>
      </c>
    </row>
    <row r="3">
      <c r="A3" t="inlineStr">
        <is>
          <t>CAST_LINE</t>
        </is>
      </c>
      <c r="E3" t="inlineStr">
        <is>
          <t>present</t>
        </is>
      </c>
      <c r="F3" t="inlineStr">
        <is>
          <t>caster</t>
        </is>
      </c>
      <c r="G3" t="b">
        <v>1</v>
      </c>
      <c r="H3" t="inlineStr">
        <is>
          <t>FOUNDRY</t>
        </is>
      </c>
    </row>
    <row r="4">
      <c r="A4" t="inlineStr">
        <is>
          <t>CA_POT</t>
        </is>
      </c>
      <c r="B4" s="8" t="n">
        <v>0.1221</v>
      </c>
      <c r="C4" t="inlineStr">
        <is>
          <t>kW</t>
        </is>
      </c>
      <c r="D4" t="inlineStr">
        <is>
          <t>study</t>
        </is>
      </c>
      <c r="E4" t="inlineStr">
        <is>
          <t>present</t>
        </is>
      </c>
      <c r="F4" t="inlineStr">
        <is>
          <t>cell</t>
        </is>
      </c>
      <c r="G4" t="b">
        <v>1</v>
      </c>
      <c r="H4" t="inlineStr">
        <is>
          <t>FOUNDRY</t>
        </is>
      </c>
    </row>
    <row r="5">
      <c r="A5" t="inlineStr">
        <is>
          <t>COMB_HEAT</t>
        </is>
      </c>
      <c r="B5" s="8" t="n">
        <v>0.05</v>
      </c>
      <c r="C5" t="inlineStr">
        <is>
          <t>kW</t>
        </is>
      </c>
      <c r="D5" t="inlineStr">
        <is>
          <t>study</t>
        </is>
      </c>
      <c r="E5" t="inlineStr">
        <is>
          <t>present</t>
        </is>
      </c>
      <c r="F5" t="inlineStr">
        <is>
          <t>furnace</t>
        </is>
      </c>
      <c r="G5" t="b">
        <v>1</v>
      </c>
      <c r="H5" t="inlineStr">
        <is>
          <t>FOUNDRY</t>
        </is>
      </c>
    </row>
    <row r="6">
      <c r="A6" t="inlineStr">
        <is>
          <t>CONT_CAST</t>
        </is>
      </c>
      <c r="E6" t="inlineStr">
        <is>
          <t>present</t>
        </is>
      </c>
      <c r="F6" t="inlineStr">
        <is>
          <t>caster</t>
        </is>
      </c>
      <c r="G6" t="b">
        <v>1</v>
      </c>
      <c r="H6" t="inlineStr">
        <is>
          <t>FOUNDRY</t>
        </is>
      </c>
    </row>
    <row r="7">
      <c r="A7" t="inlineStr">
        <is>
          <t>CR_CELL</t>
        </is>
      </c>
      <c r="B7" s="8" t="n">
        <v>0.16</v>
      </c>
      <c r="C7" t="inlineStr">
        <is>
          <t>kW</t>
        </is>
      </c>
      <c r="D7" t="inlineStr">
        <is>
          <t>study</t>
        </is>
      </c>
      <c r="E7" t="inlineStr">
        <is>
          <t>present</t>
        </is>
      </c>
      <c r="F7" t="inlineStr">
        <is>
          <t>cell</t>
        </is>
      </c>
      <c r="G7" t="b">
        <v>1</v>
      </c>
      <c r="H7" t="inlineStr">
        <is>
          <t>FOUNDRY</t>
        </is>
      </c>
    </row>
    <row r="8">
      <c r="A8" t="inlineStr">
        <is>
          <t>DRAW</t>
        </is>
      </c>
      <c r="B8" s="8" t="n">
        <v>0</v>
      </c>
      <c r="C8" t="inlineStr">
        <is>
          <t>kW</t>
        </is>
      </c>
      <c r="D8" t="inlineStr">
        <is>
          <t>study</t>
        </is>
      </c>
      <c r="E8" t="inlineStr">
        <is>
          <t>present</t>
        </is>
      </c>
      <c r="F8" t="inlineStr">
        <is>
          <t>mill</t>
        </is>
      </c>
      <c r="G8" t="b">
        <v>1</v>
      </c>
      <c r="H8" t="inlineStr">
        <is>
          <t>FOUNDRY</t>
        </is>
      </c>
    </row>
    <row r="9">
      <c r="A9" t="inlineStr">
        <is>
          <t>EXTRUDE</t>
        </is>
      </c>
      <c r="B9" s="8" t="n">
        <v>0</v>
      </c>
      <c r="C9" t="inlineStr">
        <is>
          <t>kW</t>
        </is>
      </c>
      <c r="D9" t="inlineStr">
        <is>
          <t>study</t>
        </is>
      </c>
      <c r="E9" t="inlineStr">
        <is>
          <t>present</t>
        </is>
      </c>
      <c r="F9" t="inlineStr">
        <is>
          <t>press</t>
        </is>
      </c>
      <c r="G9" t="b">
        <v>1</v>
      </c>
      <c r="H9" t="inlineStr">
        <is>
          <t>FOUNDRY</t>
        </is>
      </c>
    </row>
    <row r="10">
      <c r="A10" t="inlineStr">
        <is>
          <t>FLUX_PREP</t>
        </is>
      </c>
      <c r="B10" s="8" t="n">
        <v>0.1</v>
      </c>
      <c r="C10" t="inlineStr">
        <is>
          <t>kW</t>
        </is>
      </c>
      <c r="D10" t="inlineStr">
        <is>
          <t>study</t>
        </is>
      </c>
      <c r="E10" t="inlineStr">
        <is>
          <t>present</t>
        </is>
      </c>
      <c r="F10" t="inlineStr">
        <is>
          <t>prep</t>
        </is>
      </c>
      <c r="G10" t="b">
        <v>1</v>
      </c>
      <c r="H10" t="inlineStr">
        <is>
          <t>FOUNDRY</t>
        </is>
      </c>
    </row>
    <row r="11">
      <c r="A11" t="inlineStr">
        <is>
          <t>FORGE</t>
        </is>
      </c>
      <c r="B11" s="8" t="n">
        <v>0</v>
      </c>
      <c r="C11" t="inlineStr">
        <is>
          <t>kW</t>
        </is>
      </c>
      <c r="D11" t="inlineStr">
        <is>
          <t>study</t>
        </is>
      </c>
      <c r="E11" t="inlineStr">
        <is>
          <t>present</t>
        </is>
      </c>
      <c r="F11" t="inlineStr">
        <is>
          <t>press</t>
        </is>
      </c>
      <c r="G11" t="b">
        <v>1</v>
      </c>
      <c r="H11" t="inlineStr">
        <is>
          <t>FOUNDRY</t>
        </is>
      </c>
    </row>
    <row r="12">
      <c r="A12" t="inlineStr">
        <is>
          <t>IND_MELT</t>
        </is>
      </c>
      <c r="B12" s="8" t="n">
        <v>0.8854</v>
      </c>
      <c r="C12" t="inlineStr">
        <is>
          <t>kW</t>
        </is>
      </c>
      <c r="D12" t="inlineStr">
        <is>
          <t>study</t>
        </is>
      </c>
      <c r="E12" t="inlineStr">
        <is>
          <t>present</t>
        </is>
      </c>
      <c r="F12" t="inlineStr">
        <is>
          <t>furnace</t>
        </is>
      </c>
      <c r="G12" t="b">
        <v>1</v>
      </c>
      <c r="H12" t="inlineStr">
        <is>
          <t>FOUNDRY</t>
        </is>
      </c>
    </row>
    <row r="13">
      <c r="A13" t="inlineStr">
        <is>
          <t>INV_CAST</t>
        </is>
      </c>
      <c r="B13" s="8" t="n">
        <v>0.15</v>
      </c>
      <c r="C13" t="inlineStr">
        <is>
          <t>kW</t>
        </is>
      </c>
      <c r="D13" t="inlineStr">
        <is>
          <t>study</t>
        </is>
      </c>
      <c r="E13" t="inlineStr">
        <is>
          <t>present</t>
        </is>
      </c>
      <c r="F13" t="inlineStr">
        <is>
          <t>caster</t>
        </is>
      </c>
      <c r="G13" t="b">
        <v>1</v>
      </c>
      <c r="H13" t="inlineStr">
        <is>
          <t>FOUNDRY</t>
        </is>
      </c>
    </row>
    <row r="14">
      <c r="A14" t="inlineStr">
        <is>
          <t>METAL_STORE</t>
        </is>
      </c>
      <c r="E14" t="inlineStr">
        <is>
          <t>present</t>
        </is>
      </c>
      <c r="F14" t="inlineStr">
        <is>
          <t>store</t>
        </is>
      </c>
      <c r="G14" t="b">
        <v>1</v>
      </c>
      <c r="H14" t="inlineStr">
        <is>
          <t>FOUNDRY</t>
        </is>
      </c>
    </row>
    <row r="15">
      <c r="A15" t="inlineStr">
        <is>
          <t>MG_POT</t>
        </is>
      </c>
      <c r="B15" s="8" t="n">
        <v>0.3375</v>
      </c>
      <c r="C15" t="inlineStr">
        <is>
          <t>kW</t>
        </is>
      </c>
      <c r="D15" t="inlineStr">
        <is>
          <t>study</t>
        </is>
      </c>
      <c r="E15" t="inlineStr">
        <is>
          <t>present</t>
        </is>
      </c>
      <c r="F15" t="inlineStr">
        <is>
          <t>cell</t>
        </is>
      </c>
      <c r="G15" t="b">
        <v>1</v>
      </c>
      <c r="H15" t="inlineStr">
        <is>
          <t>FOUNDRY</t>
        </is>
      </c>
    </row>
    <row r="16">
      <c r="A16" t="inlineStr">
        <is>
          <t>MO_CELL</t>
        </is>
      </c>
      <c r="B16" s="8" t="n">
        <v>0.1141</v>
      </c>
      <c r="C16" t="inlineStr">
        <is>
          <t>kW</t>
        </is>
      </c>
      <c r="D16" t="inlineStr">
        <is>
          <t>study</t>
        </is>
      </c>
      <c r="E16" t="inlineStr">
        <is>
          <t>present</t>
        </is>
      </c>
      <c r="F16" t="inlineStr">
        <is>
          <t>cell</t>
        </is>
      </c>
      <c r="G16" t="b">
        <v>1</v>
      </c>
      <c r="H16" t="inlineStr">
        <is>
          <t>FOUNDRY</t>
        </is>
      </c>
    </row>
    <row r="17">
      <c r="A17" t="inlineStr">
        <is>
          <t>RES_HEAT</t>
        </is>
      </c>
      <c r="B17" s="8" t="n">
        <v>0</v>
      </c>
      <c r="C17" t="inlineStr">
        <is>
          <t>kW</t>
        </is>
      </c>
      <c r="D17" t="inlineStr">
        <is>
          <t>study</t>
        </is>
      </c>
      <c r="E17" t="inlineStr">
        <is>
          <t>present</t>
        </is>
      </c>
      <c r="F17" t="inlineStr">
        <is>
          <t>furnace</t>
        </is>
      </c>
      <c r="G17" t="b">
        <v>1</v>
      </c>
      <c r="H17" t="inlineStr">
        <is>
          <t>FOUNDRY</t>
        </is>
      </c>
    </row>
    <row r="18">
      <c r="A18" t="inlineStr">
        <is>
          <t>RF_HEAT</t>
        </is>
      </c>
      <c r="B18" s="8" t="n">
        <v>0</v>
      </c>
      <c r="C18" t="inlineStr">
        <is>
          <t>kW</t>
        </is>
      </c>
      <c r="D18" t="inlineStr">
        <is>
          <t>study</t>
        </is>
      </c>
      <c r="E18" t="inlineStr">
        <is>
          <t>present</t>
        </is>
      </c>
      <c r="F18" t="inlineStr">
        <is>
          <t>furnace</t>
        </is>
      </c>
      <c r="G18" t="b">
        <v>1</v>
      </c>
      <c r="H18" t="inlineStr">
        <is>
          <t>FOUNDRY</t>
        </is>
      </c>
    </row>
    <row r="19">
      <c r="A19" t="inlineStr">
        <is>
          <t>ROLL</t>
        </is>
      </c>
      <c r="E19" t="inlineStr">
        <is>
          <t>present</t>
        </is>
      </c>
      <c r="F19" t="inlineStr">
        <is>
          <t>mill</t>
        </is>
      </c>
      <c r="G19" t="b">
        <v>1</v>
      </c>
      <c r="H19" t="inlineStr">
        <is>
          <t>FOUNDRY</t>
        </is>
      </c>
    </row>
    <row r="20">
      <c r="A20" t="inlineStr">
        <is>
          <t>SHELL_BREAK</t>
        </is>
      </c>
      <c r="B20" s="8" t="n">
        <v>0.4</v>
      </c>
      <c r="C20" t="inlineStr">
        <is>
          <t>kW</t>
        </is>
      </c>
      <c r="D20" t="inlineStr">
        <is>
          <t>study</t>
        </is>
      </c>
      <c r="E20" t="inlineStr">
        <is>
          <t>present</t>
        </is>
      </c>
      <c r="F20" t="inlineStr">
        <is>
          <t>separator</t>
        </is>
      </c>
      <c r="G20" t="b">
        <v>1</v>
      </c>
      <c r="H20" t="inlineStr">
        <is>
          <t>FOUNDRY</t>
        </is>
      </c>
    </row>
    <row r="21">
      <c r="A21" t="inlineStr">
        <is>
          <t>SHELL_BUILD</t>
        </is>
      </c>
      <c r="B21" s="8" t="n">
        <v>0.3</v>
      </c>
      <c r="C21" t="inlineStr">
        <is>
          <t>kW</t>
        </is>
      </c>
      <c r="D21" t="inlineStr">
        <is>
          <t>study</t>
        </is>
      </c>
      <c r="E21" t="inlineStr">
        <is>
          <t>present</t>
        </is>
      </c>
      <c r="F21" t="inlineStr">
        <is>
          <t>coater</t>
        </is>
      </c>
      <c r="G21" t="b">
        <v>1</v>
      </c>
      <c r="H21" t="inlineStr">
        <is>
          <t>FOUNDRY</t>
        </is>
      </c>
    </row>
    <row r="22">
      <c r="A22" t="inlineStr">
        <is>
          <t>SHELL_BURNOUT</t>
        </is>
      </c>
      <c r="B22" s="8" t="n">
        <v>0.25</v>
      </c>
      <c r="C22" t="inlineStr">
        <is>
          <t>kW</t>
        </is>
      </c>
      <c r="D22" t="inlineStr">
        <is>
          <t>study</t>
        </is>
      </c>
      <c r="E22" t="inlineStr">
        <is>
          <t>present</t>
        </is>
      </c>
      <c r="F22" t="inlineStr">
        <is>
          <t>furnace</t>
        </is>
      </c>
      <c r="G22" t="b">
        <v>1</v>
      </c>
      <c r="H22" t="inlineStr">
        <is>
          <t>FOUNDRY</t>
        </is>
      </c>
    </row>
    <row r="23">
      <c r="A23" t="inlineStr">
        <is>
          <t>SINTER</t>
        </is>
      </c>
      <c r="B23" s="8" t="n">
        <v>0</v>
      </c>
      <c r="C23" t="inlineStr">
        <is>
          <t>kW</t>
        </is>
      </c>
      <c r="D23" t="inlineStr">
        <is>
          <t>study</t>
        </is>
      </c>
      <c r="E23" t="inlineStr">
        <is>
          <t>present</t>
        </is>
      </c>
      <c r="F23" t="inlineStr">
        <is>
          <t>furnace</t>
        </is>
      </c>
      <c r="G23" t="b">
        <v>1</v>
      </c>
      <c r="H23" t="inlineStr">
        <is>
          <t>FOUNDRY</t>
        </is>
      </c>
    </row>
    <row r="24">
      <c r="A24" t="inlineStr">
        <is>
          <t>STOCK_OUT</t>
        </is>
      </c>
      <c r="E24" t="inlineStr">
        <is>
          <t>present</t>
        </is>
      </c>
      <c r="F24" t="inlineStr">
        <is>
          <t>store</t>
        </is>
      </c>
      <c r="G24" t="b">
        <v>1</v>
      </c>
      <c r="H24" t="inlineStr">
        <is>
          <t>FOUNDRY</t>
        </is>
      </c>
    </row>
    <row r="25">
      <c r="A25" t="inlineStr">
        <is>
          <t>TI_CELL</t>
        </is>
      </c>
      <c r="B25" s="8" t="n">
        <v>0.5</v>
      </c>
      <c r="C25" t="inlineStr">
        <is>
          <t>kW</t>
        </is>
      </c>
      <c r="D25" t="inlineStr">
        <is>
          <t>study</t>
        </is>
      </c>
      <c r="E25" t="inlineStr">
        <is>
          <t>present</t>
        </is>
      </c>
      <c r="F25" t="inlineStr">
        <is>
          <t>cell</t>
        </is>
      </c>
      <c r="G25" t="b">
        <v>1</v>
      </c>
      <c r="H25" t="inlineStr">
        <is>
          <t>FOUNDRY</t>
        </is>
      </c>
    </row>
    <row r="26">
      <c r="A26" t="inlineStr">
        <is>
          <t>VAC_CAST</t>
        </is>
      </c>
      <c r="B26" s="8" t="n">
        <v>0</v>
      </c>
      <c r="C26" t="inlineStr">
        <is>
          <t>kW</t>
        </is>
      </c>
      <c r="D26" t="inlineStr">
        <is>
          <t>study</t>
        </is>
      </c>
      <c r="E26" t="inlineStr">
        <is>
          <t>present</t>
        </is>
      </c>
      <c r="F26" t="inlineStr">
        <is>
          <t>caster</t>
        </is>
      </c>
      <c r="G26" t="b">
        <v>1</v>
      </c>
      <c r="H26" t="inlineStr">
        <is>
          <t>FOUNDRY</t>
        </is>
      </c>
    </row>
    <row r="27">
      <c r="A27" t="inlineStr">
        <is>
          <t>VAC_IND</t>
        </is>
      </c>
      <c r="B27" s="8" t="n">
        <v>0</v>
      </c>
      <c r="C27" t="inlineStr">
        <is>
          <t>kW</t>
        </is>
      </c>
      <c r="D27" t="inlineStr">
        <is>
          <t>study</t>
        </is>
      </c>
      <c r="E27" t="inlineStr">
        <is>
          <t>present</t>
        </is>
      </c>
      <c r="F27" t="inlineStr">
        <is>
          <t>furnace</t>
        </is>
      </c>
      <c r="G27" t="b">
        <v>1</v>
      </c>
      <c r="H27" t="inlineStr">
        <is>
          <t>FOUNDRY</t>
        </is>
      </c>
    </row>
    <row r="28">
      <c r="A28" t="inlineStr">
        <is>
          <t>WAX_PATTERN</t>
        </is>
      </c>
      <c r="B28" s="8" t="n">
        <v>0.5</v>
      </c>
      <c r="C28" t="inlineStr">
        <is>
          <t>kW</t>
        </is>
      </c>
      <c r="D28" t="inlineStr">
        <is>
          <t>study</t>
        </is>
      </c>
      <c r="E28" t="inlineStr">
        <is>
          <t>present</t>
        </is>
      </c>
      <c r="F28" t="inlineStr">
        <is>
          <t>prep</t>
        </is>
      </c>
      <c r="G28" t="b">
        <v>1</v>
      </c>
      <c r="H28" t="inlineStr">
        <is>
          <t>FOUNDRY</t>
        </is>
      </c>
    </row>
    <row r="30">
      <c r="A30" s="1" t="inlineStr">
        <is>
          <t>SUBTOTAL continuous kW (SUM)</t>
        </is>
      </c>
      <c r="B30" s="10">
        <f>SUM(B2:B28)</f>
        <v/>
      </c>
    </row>
    <row r="32">
      <c r="A32" s="9" t="inlineStr">
        <is>
          <t>EDGES TOUCHING THIS SECTOR (from or to)</t>
        </is>
      </c>
    </row>
    <row r="33">
      <c r="A33" s="3" t="inlineStr">
        <is>
          <t>stream_id</t>
        </is>
      </c>
      <c r="B33" s="3" t="inlineStr">
        <is>
          <t>from_unit</t>
        </is>
      </c>
      <c r="C33" s="3" t="inlineStr">
        <is>
          <t>to_unit</t>
        </is>
      </c>
      <c r="D33" s="3" t="inlineStr">
        <is>
          <t>rate</t>
        </is>
      </c>
      <c r="E33" s="3" t="inlineStr">
        <is>
          <t>unit</t>
        </is>
      </c>
      <c r="F33" s="3" t="inlineStr">
        <is>
          <t>status</t>
        </is>
      </c>
    </row>
    <row r="34">
      <c r="A34" t="inlineStr">
        <is>
          <t>AL_POT_CL2</t>
        </is>
      </c>
      <c r="B34" t="inlineStr">
        <is>
          <t>AL_POT</t>
        </is>
      </c>
      <c r="C34" t="inlineStr">
        <is>
          <t>CRU</t>
        </is>
      </c>
      <c r="D34" t="n">
        <v>0</v>
      </c>
      <c r="E34" t="inlineStr">
        <is>
          <t>kg/d</t>
        </is>
      </c>
      <c r="F34" t="inlineStr">
        <is>
          <t>study</t>
        </is>
      </c>
    </row>
    <row r="35">
      <c r="A35" t="inlineStr">
        <is>
          <t>AL_POT_TO_IND</t>
        </is>
      </c>
      <c r="B35" t="inlineStr">
        <is>
          <t>AL_POT</t>
        </is>
      </c>
      <c r="C35" t="inlineStr">
        <is>
          <t>IND_MELT</t>
        </is>
      </c>
      <c r="D35" t="n">
        <v>10</v>
      </c>
      <c r="E35" t="inlineStr">
        <is>
          <t>kg/d</t>
        </is>
      </c>
      <c r="F35" t="inlineStr">
        <is>
          <t>study</t>
        </is>
      </c>
    </row>
    <row r="36">
      <c r="A36" t="inlineStr">
        <is>
          <t>ATOM_TO_STOCK</t>
        </is>
      </c>
      <c r="B36" t="inlineStr">
        <is>
          <t>GAS_ATOMIZER</t>
        </is>
      </c>
      <c r="C36" t="inlineStr">
        <is>
          <t>STOCK_OUT</t>
        </is>
      </c>
      <c r="D36" t="n">
        <v>0</v>
      </c>
      <c r="E36" t="inlineStr">
        <is>
          <t>kg/d</t>
        </is>
      </c>
      <c r="F36" t="inlineStr">
        <is>
          <t>study</t>
        </is>
      </c>
    </row>
    <row r="37">
      <c r="A37" t="inlineStr">
        <is>
          <t>BREAK_TO_STOCK</t>
        </is>
      </c>
      <c r="B37" t="inlineStr">
        <is>
          <t>SHELL_BREAK</t>
        </is>
      </c>
      <c r="C37" t="inlineStr">
        <is>
          <t>STOCK_OUT</t>
        </is>
      </c>
      <c r="D37" t="n">
        <v>2</v>
      </c>
      <c r="E37" t="inlineStr">
        <is>
          <t>kg/d</t>
        </is>
      </c>
      <c r="F37" t="inlineStr">
        <is>
          <t>study</t>
        </is>
      </c>
    </row>
    <row r="38">
      <c r="A38" t="inlineStr">
        <is>
          <t>BURNOUT_TO_CAST</t>
        </is>
      </c>
      <c r="B38" t="inlineStr">
        <is>
          <t>SHELL_BURNOUT</t>
        </is>
      </c>
      <c r="C38" t="inlineStr">
        <is>
          <t>INV_CAST</t>
        </is>
      </c>
      <c r="D38" t="n">
        <v>8</v>
      </c>
      <c r="E38" t="inlineStr">
        <is>
          <t>kg/d</t>
        </is>
      </c>
      <c r="F38" t="inlineStr">
        <is>
          <t>study</t>
        </is>
      </c>
    </row>
    <row r="39">
      <c r="A39" t="inlineStr">
        <is>
          <t>CAST_SCRAP_TO_IND</t>
        </is>
      </c>
      <c r="B39" t="inlineStr">
        <is>
          <t>CAST_LINE</t>
        </is>
      </c>
      <c r="C39" t="inlineStr">
        <is>
          <t>IND_MELT</t>
        </is>
      </c>
      <c r="D39" t="n">
        <v>0</v>
      </c>
      <c r="E39" t="inlineStr">
        <is>
          <t>kg/d</t>
        </is>
      </c>
      <c r="F39" t="inlineStr">
        <is>
          <t>study</t>
        </is>
      </c>
    </row>
    <row r="40">
      <c r="A40" t="inlineStr">
        <is>
          <t>CAST_TO_EXTRUDE</t>
        </is>
      </c>
      <c r="B40" t="inlineStr">
        <is>
          <t>CAST_LINE</t>
        </is>
      </c>
      <c r="C40" t="inlineStr">
        <is>
          <t>EXTRUDE</t>
        </is>
      </c>
      <c r="D40" t="n">
        <v>0</v>
      </c>
      <c r="E40" t="inlineStr">
        <is>
          <t>kg/d</t>
        </is>
      </c>
      <c r="F40" t="inlineStr">
        <is>
          <t>study</t>
        </is>
      </c>
    </row>
    <row r="41">
      <c r="A41" t="inlineStr">
        <is>
          <t>CAST_TO_ROLL</t>
        </is>
      </c>
      <c r="B41" t="inlineStr">
        <is>
          <t>CAST_LINE</t>
        </is>
      </c>
      <c r="C41" t="inlineStr">
        <is>
          <t>ROLL</t>
        </is>
      </c>
      <c r="D41" t="n">
        <v>3</v>
      </c>
      <c r="E41" t="inlineStr">
        <is>
          <t>kg/d</t>
        </is>
      </c>
      <c r="F41" t="inlineStr">
        <is>
          <t>study</t>
        </is>
      </c>
    </row>
    <row r="42">
      <c r="A42" t="inlineStr">
        <is>
          <t>CA_POT_TO_IND</t>
        </is>
      </c>
      <c r="B42" t="inlineStr">
        <is>
          <t>CA_POT</t>
        </is>
      </c>
      <c r="C42" t="inlineStr">
        <is>
          <t>IND_MELT</t>
        </is>
      </c>
      <c r="D42" t="n">
        <v>0.055069</v>
      </c>
      <c r="E42" t="inlineStr">
        <is>
          <t>kg/d</t>
        </is>
      </c>
      <c r="F42" t="inlineStr">
        <is>
          <t>study</t>
        </is>
      </c>
    </row>
    <row r="43">
      <c r="A43" t="inlineStr">
        <is>
          <t>COMB_OFFGAS</t>
        </is>
      </c>
      <c r="B43" t="inlineStr">
        <is>
          <t>COMB_HEAT</t>
        </is>
      </c>
      <c r="C43" t="inlineStr">
        <is>
          <t>MET_SCRUB</t>
        </is>
      </c>
      <c r="D43" t="n">
        <v>0</v>
      </c>
      <c r="E43" t="inlineStr">
        <is>
          <t>kg/d</t>
        </is>
      </c>
      <c r="F43" t="inlineStr">
        <is>
          <t>study</t>
        </is>
      </c>
    </row>
    <row r="44">
      <c r="A44" t="inlineStr">
        <is>
          <t>CONT_TO_ROLL</t>
        </is>
      </c>
      <c r="B44" t="inlineStr">
        <is>
          <t>CONT_CAST</t>
        </is>
      </c>
      <c r="C44" t="inlineStr">
        <is>
          <t>ROLL</t>
        </is>
      </c>
      <c r="D44" t="n">
        <v>10</v>
      </c>
      <c r="E44" t="inlineStr">
        <is>
          <t>kg/d</t>
        </is>
      </c>
      <c r="F44" t="inlineStr">
        <is>
          <t>study</t>
        </is>
      </c>
    </row>
    <row r="45">
      <c r="A45" t="inlineStr">
        <is>
          <t>CONT_TO_STOCK</t>
        </is>
      </c>
      <c r="B45" t="inlineStr">
        <is>
          <t>CONT_CAST</t>
        </is>
      </c>
      <c r="C45" t="inlineStr">
        <is>
          <t>STOCK_OUT</t>
        </is>
      </c>
      <c r="D45" t="n">
        <v>21.7125</v>
      </c>
      <c r="E45" t="inlineStr">
        <is>
          <t>kg/d</t>
        </is>
      </c>
      <c r="F45" t="inlineStr">
        <is>
          <t>study</t>
        </is>
      </c>
    </row>
    <row r="46">
      <c r="A46" t="inlineStr">
        <is>
          <t>CR_TO_IND</t>
        </is>
      </c>
      <c r="B46" t="inlineStr">
        <is>
          <t>CR_CELL</t>
        </is>
      </c>
      <c r="C46" t="inlineStr">
        <is>
          <t>IND_MELT</t>
        </is>
      </c>
      <c r="D46" t="n">
        <v>0.25</v>
      </c>
      <c r="E46" t="inlineStr">
        <is>
          <t>kg/d</t>
        </is>
      </c>
      <c r="F46" t="inlineStr">
        <is>
          <t>study</t>
        </is>
      </c>
    </row>
    <row r="47">
      <c r="A47" t="inlineStr">
        <is>
          <t>DRAW_TO_STOCK</t>
        </is>
      </c>
      <c r="B47" t="inlineStr">
        <is>
          <t>DRAW</t>
        </is>
      </c>
      <c r="C47" t="inlineStr">
        <is>
          <t>STOCK_OUT</t>
        </is>
      </c>
      <c r="D47" t="n">
        <v>0</v>
      </c>
      <c r="E47" t="inlineStr">
        <is>
          <t>kg/d</t>
        </is>
      </c>
      <c r="F47" t="inlineStr">
        <is>
          <t>study</t>
        </is>
      </c>
    </row>
    <row r="48">
      <c r="A48" t="inlineStr">
        <is>
          <t>EW9_LIQUOR_TO_MO</t>
        </is>
      </c>
      <c r="B48" t="inlineStr">
        <is>
          <t>EW_9</t>
        </is>
      </c>
      <c r="C48" t="inlineStr">
        <is>
          <t>MO_CELL</t>
        </is>
      </c>
      <c r="D48" t="n">
        <v>0</v>
      </c>
      <c r="E48" t="inlineStr">
        <is>
          <t>kg/d</t>
        </is>
      </c>
      <c r="F48" t="inlineStr">
        <is>
          <t>study</t>
        </is>
      </c>
    </row>
    <row r="49">
      <c r="A49" t="inlineStr">
        <is>
          <t>EW_METALS_TO_IND</t>
        </is>
      </c>
      <c r="B49" t="inlineStr">
        <is>
          <t>EW_9</t>
        </is>
      </c>
      <c r="C49" t="inlineStr">
        <is>
          <t>IND_MELT</t>
        </is>
      </c>
      <c r="D49" t="n">
        <v>0</v>
      </c>
      <c r="E49" t="inlineStr">
        <is>
          <t>kg/d</t>
        </is>
      </c>
      <c r="F49" t="inlineStr">
        <is>
          <t>study</t>
        </is>
      </c>
    </row>
    <row r="50">
      <c r="A50" t="inlineStr">
        <is>
          <t>EXTRUDE_TO_STOCK</t>
        </is>
      </c>
      <c r="B50" t="inlineStr">
        <is>
          <t>EXTRUDE</t>
        </is>
      </c>
      <c r="C50" t="inlineStr">
        <is>
          <t>STOCK_OUT</t>
        </is>
      </c>
      <c r="D50" t="n">
        <v>0</v>
      </c>
      <c r="E50" t="inlineStr">
        <is>
          <t>kg/d</t>
        </is>
      </c>
      <c r="F50" t="inlineStr">
        <is>
          <t>study</t>
        </is>
      </c>
    </row>
    <row r="51">
      <c r="A51" t="inlineStr">
        <is>
          <t>FLOAT_SINK_GRIT_TO_TI</t>
        </is>
      </c>
      <c r="B51" t="inlineStr">
        <is>
          <t>FLOAT_SINK</t>
        </is>
      </c>
      <c r="C51" t="inlineStr">
        <is>
          <t>TI_CELL</t>
        </is>
      </c>
      <c r="D51" t="n">
        <v>0</v>
      </c>
      <c r="E51" t="inlineStr">
        <is>
          <t>kg/d</t>
        </is>
      </c>
      <c r="F51" t="inlineStr">
        <is>
          <t>study</t>
        </is>
      </c>
    </row>
    <row r="52">
      <c r="A52" t="inlineStr">
        <is>
          <t>FLUX_TO_IND</t>
        </is>
      </c>
      <c r="B52" t="inlineStr">
        <is>
          <t>FLUX_PREP</t>
        </is>
      </c>
      <c r="C52" t="inlineStr">
        <is>
          <t>IND_MELT</t>
        </is>
      </c>
      <c r="D52" t="n">
        <v>0.039781</v>
      </c>
      <c r="E52" t="inlineStr">
        <is>
          <t>kg/d</t>
        </is>
      </c>
      <c r="F52" t="inlineStr">
        <is>
          <t>study</t>
        </is>
      </c>
    </row>
    <row r="53">
      <c r="A53" t="inlineStr">
        <is>
          <t>FOUNDRY_SLAG_TO_LEACH</t>
        </is>
      </c>
      <c r="B53" t="inlineStr">
        <is>
          <t>IND_MELT</t>
        </is>
      </c>
      <c r="C53" t="inlineStr">
        <is>
          <t>LEACH_CSTR_1</t>
        </is>
      </c>
      <c r="D53" t="n">
        <v>0.356466</v>
      </c>
      <c r="E53" t="inlineStr">
        <is>
          <t>kg/d</t>
        </is>
      </c>
      <c r="F53" t="inlineStr">
        <is>
          <t>study</t>
        </is>
      </c>
    </row>
    <row r="54">
      <c r="A54" t="inlineStr">
        <is>
          <t>IA-ALCL3-MU</t>
        </is>
      </c>
      <c r="B54" t="inlineStr">
        <is>
          <t>NORTH_DOCK</t>
        </is>
      </c>
      <c r="C54" t="inlineStr">
        <is>
          <t>AL_POT</t>
        </is>
      </c>
      <c r="D54" t="n">
        <v>49.419232</v>
      </c>
      <c r="E54" t="inlineStr">
        <is>
          <t>kg/d</t>
        </is>
      </c>
      <c r="F54" t="inlineStr">
        <is>
          <t>study</t>
        </is>
      </c>
    </row>
    <row r="55">
      <c r="A55" t="inlineStr">
        <is>
          <t>IA-C-CR</t>
        </is>
      </c>
      <c r="B55" t="inlineStr">
        <is>
          <t>NORTH_DOCK</t>
        </is>
      </c>
      <c r="C55" t="inlineStr">
        <is>
          <t>CR_CELL</t>
        </is>
      </c>
      <c r="D55" t="n">
        <v>0.08662400000000001</v>
      </c>
      <c r="E55" t="inlineStr">
        <is>
          <t>kg/d</t>
        </is>
      </c>
      <c r="F55" t="inlineStr">
        <is>
          <t>study</t>
        </is>
      </c>
    </row>
    <row r="56">
      <c r="A56" t="inlineStr">
        <is>
          <t>IA-C-MO</t>
        </is>
      </c>
      <c r="B56" t="inlineStr">
        <is>
          <t>NORTH_DOCK</t>
        </is>
      </c>
      <c r="C56" t="inlineStr">
        <is>
          <t>MO_CELL</t>
        </is>
      </c>
      <c r="D56" t="n">
        <v>0.011736</v>
      </c>
      <c r="E56" t="inlineStr">
        <is>
          <t>kg/d</t>
        </is>
      </c>
      <c r="F56" t="inlineStr">
        <is>
          <t>study</t>
        </is>
      </c>
    </row>
    <row r="57">
      <c r="A57" t="inlineStr">
        <is>
          <t>IA-C-TI</t>
        </is>
      </c>
      <c r="B57" t="inlineStr">
        <is>
          <t>NORTH_DOCK</t>
        </is>
      </c>
      <c r="C57" t="inlineStr">
        <is>
          <t>TI_CELL</t>
        </is>
      </c>
      <c r="D57" t="n">
        <v>0.250924</v>
      </c>
      <c r="E57" t="inlineStr">
        <is>
          <t>kg/d</t>
        </is>
      </c>
      <c r="F57" t="inlineStr">
        <is>
          <t>study</t>
        </is>
      </c>
    </row>
    <row r="58">
      <c r="A58" t="inlineStr">
        <is>
          <t>IA-CACL2-MU</t>
        </is>
      </c>
      <c r="B58" t="inlineStr">
        <is>
          <t>NORTH_DOCK</t>
        </is>
      </c>
      <c r="C58" t="inlineStr">
        <is>
          <t>CA_POT</t>
        </is>
      </c>
      <c r="D58" t="n">
        <v>0.152497</v>
      </c>
      <c r="E58" t="inlineStr">
        <is>
          <t>kg/d</t>
        </is>
      </c>
      <c r="F58" t="inlineStr">
        <is>
          <t>study</t>
        </is>
      </c>
    </row>
    <row r="59">
      <c r="A59" t="inlineStr">
        <is>
          <t>IA-CL2-MG-TI</t>
        </is>
      </c>
      <c r="B59" t="inlineStr">
        <is>
          <t>MG_POT</t>
        </is>
      </c>
      <c r="C59" t="inlineStr">
        <is>
          <t>TI_CELL</t>
        </is>
      </c>
      <c r="D59" t="n">
        <v>1.481313</v>
      </c>
      <c r="E59" t="inlineStr">
        <is>
          <t>kg/d</t>
        </is>
      </c>
      <c r="F59" t="inlineStr">
        <is>
          <t>study</t>
        </is>
      </c>
    </row>
    <row r="60">
      <c r="A60" t="inlineStr">
        <is>
          <t>IA-CR2O3-MU</t>
        </is>
      </c>
      <c r="B60" t="inlineStr">
        <is>
          <t>NORTH_DOCK</t>
        </is>
      </c>
      <c r="C60" t="inlineStr">
        <is>
          <t>CR_CELL</t>
        </is>
      </c>
      <c r="D60" t="n">
        <v>0.365389</v>
      </c>
      <c r="E60" t="inlineStr">
        <is>
          <t>kg/d</t>
        </is>
      </c>
      <c r="F60" t="inlineStr">
        <is>
          <t>study</t>
        </is>
      </c>
    </row>
    <row r="61">
      <c r="A61" t="inlineStr">
        <is>
          <t>IA-KROLL-FLUX</t>
        </is>
      </c>
      <c r="B61" t="inlineStr">
        <is>
          <t>TI_CELL</t>
        </is>
      </c>
      <c r="C61" t="inlineStr">
        <is>
          <t>FLUX_PREP</t>
        </is>
      </c>
      <c r="D61" t="n">
        <v>0.039781</v>
      </c>
      <c r="E61" t="inlineStr">
        <is>
          <t>kg/d</t>
        </is>
      </c>
      <c r="F61" t="inlineStr">
        <is>
          <t>study</t>
        </is>
      </c>
    </row>
    <row r="62">
      <c r="A62" t="inlineStr">
        <is>
          <t>IA-MG-TI</t>
        </is>
      </c>
      <c r="B62" t="inlineStr">
        <is>
          <t>MG_POT</t>
        </is>
      </c>
      <c r="C62" t="inlineStr">
        <is>
          <t>TI_CELL</t>
        </is>
      </c>
      <c r="D62" t="n">
        <v>0.507761</v>
      </c>
      <c r="E62" t="inlineStr">
        <is>
          <t>kg/d</t>
        </is>
      </c>
      <c r="F62" t="inlineStr">
        <is>
          <t>study</t>
        </is>
      </c>
    </row>
    <row r="63">
      <c r="A63" t="inlineStr">
        <is>
          <t>IA-MGCL2-KROLL</t>
        </is>
      </c>
      <c r="B63" t="inlineStr">
        <is>
          <t>TI_CELL</t>
        </is>
      </c>
      <c r="C63" t="inlineStr">
        <is>
          <t>MG_POT</t>
        </is>
      </c>
      <c r="D63" t="n">
        <v>1.949292</v>
      </c>
      <c r="E63" t="inlineStr">
        <is>
          <t>kg/d</t>
        </is>
      </c>
      <c r="F63" t="inlineStr">
        <is>
          <t>study</t>
        </is>
      </c>
    </row>
    <row r="64">
      <c r="A64" t="inlineStr">
        <is>
          <t>IA-MGCL2-MU</t>
        </is>
      </c>
      <c r="B64" t="inlineStr">
        <is>
          <t>NORTH_DOCK</t>
        </is>
      </c>
      <c r="C64" t="inlineStr">
        <is>
          <t>MG_POT</t>
        </is>
      </c>
      <c r="D64" t="n">
        <v>0.039782</v>
      </c>
      <c r="E64" t="inlineStr">
        <is>
          <t>kg/d</t>
        </is>
      </c>
      <c r="F64" t="inlineStr">
        <is>
          <t>study</t>
        </is>
      </c>
    </row>
    <row r="65">
      <c r="A65" t="inlineStr">
        <is>
          <t>IA-MOO3-MU</t>
        </is>
      </c>
      <c r="B65" t="inlineStr">
        <is>
          <t>NORTH_DOCK</t>
        </is>
      </c>
      <c r="C65" t="inlineStr">
        <is>
          <t>MO_CELL</t>
        </is>
      </c>
      <c r="D65" t="n">
        <v>0.093766</v>
      </c>
      <c r="E65" t="inlineStr">
        <is>
          <t>kg/d</t>
        </is>
      </c>
      <c r="F65" t="inlineStr">
        <is>
          <t>study</t>
        </is>
      </c>
    </row>
    <row r="66">
      <c r="A66" t="inlineStr">
        <is>
          <t>IA-SHELL-RECLAIM</t>
        </is>
      </c>
      <c r="B66" t="inlineStr">
        <is>
          <t>SHELL_BREAK</t>
        </is>
      </c>
      <c r="C66" t="inlineStr">
        <is>
          <t>SHELL_BUILD</t>
        </is>
      </c>
      <c r="D66" t="n">
        <v>7</v>
      </c>
      <c r="E66" t="inlineStr">
        <is>
          <t>kg/d</t>
        </is>
      </c>
      <c r="F66" t="inlineStr">
        <is>
          <t>study</t>
        </is>
      </c>
    </row>
    <row r="67">
      <c r="A67" t="inlineStr">
        <is>
          <t>IA-SILICA-MU</t>
        </is>
      </c>
      <c r="B67" t="inlineStr">
        <is>
          <t>NORTH_DOCK</t>
        </is>
      </c>
      <c r="C67" t="inlineStr">
        <is>
          <t>SHELL_BUILD</t>
        </is>
      </c>
      <c r="D67" t="n">
        <v>1</v>
      </c>
      <c r="E67" t="inlineStr">
        <is>
          <t>kg/d</t>
        </is>
      </c>
      <c r="F67" t="inlineStr">
        <is>
          <t>study</t>
        </is>
      </c>
    </row>
    <row r="68">
      <c r="A68" t="inlineStr">
        <is>
          <t>IA-STOCK-STORE</t>
        </is>
      </c>
      <c r="B68" t="inlineStr">
        <is>
          <t>STOCK_OUT</t>
        </is>
      </c>
      <c r="C68" t="inlineStr">
        <is>
          <t>METAL_STORE</t>
        </is>
      </c>
      <c r="D68" t="n">
        <v>36.7125</v>
      </c>
      <c r="E68" t="inlineStr">
        <is>
          <t>kg/d</t>
        </is>
      </c>
      <c r="F68" t="inlineStr">
        <is>
          <t>study</t>
        </is>
      </c>
    </row>
    <row r="69">
      <c r="A69" t="inlineStr">
        <is>
          <t>IA-TIO2-MU</t>
        </is>
      </c>
      <c r="B69" t="inlineStr">
        <is>
          <t>NORTH_DOCK</t>
        </is>
      </c>
      <c r="C69" t="inlineStr">
        <is>
          <t>TI_CELL</t>
        </is>
      </c>
      <c r="D69" t="n">
        <v>0.834247</v>
      </c>
      <c r="E69" t="inlineStr">
        <is>
          <t>kg/d</t>
        </is>
      </c>
      <c r="F69" t="inlineStr">
        <is>
          <t>study</t>
        </is>
      </c>
    </row>
    <row r="70">
      <c r="A70" t="inlineStr">
        <is>
          <t>IA-WAX-MU</t>
        </is>
      </c>
      <c r="B70" t="inlineStr">
        <is>
          <t>NORTH_DOCK</t>
        </is>
      </c>
      <c r="C70" t="inlineStr">
        <is>
          <t>WAX_PATTERN</t>
        </is>
      </c>
      <c r="D70" t="n">
        <v>0.2</v>
      </c>
      <c r="E70" t="inlineStr">
        <is>
          <t>kg/d</t>
        </is>
      </c>
      <c r="F70" t="inlineStr">
        <is>
          <t>study</t>
        </is>
      </c>
    </row>
    <row r="71">
      <c r="A71" t="inlineStr">
        <is>
          <t>IND_HEAT_TO_HX</t>
        </is>
      </c>
      <c r="B71" t="inlineStr">
        <is>
          <t>IND_MELT</t>
        </is>
      </c>
      <c r="C71" t="inlineStr">
        <is>
          <t>MET_HX_Q4</t>
        </is>
      </c>
      <c r="D71" t="n">
        <v>1.063</v>
      </c>
      <c r="E71" t="inlineStr">
        <is>
          <t>kW</t>
        </is>
      </c>
      <c r="F71" t="inlineStr">
        <is>
          <t>study</t>
        </is>
      </c>
    </row>
    <row r="72">
      <c r="A72" t="inlineStr">
        <is>
          <t>IND_MELT_TO_CAST</t>
        </is>
      </c>
      <c r="B72" t="inlineStr">
        <is>
          <t>IND_MELT</t>
        </is>
      </c>
      <c r="C72" t="inlineStr">
        <is>
          <t>CAST_LINE</t>
        </is>
      </c>
      <c r="D72" t="n">
        <v>3</v>
      </c>
      <c r="E72" t="inlineStr">
        <is>
          <t>kg/d</t>
        </is>
      </c>
      <c r="F72" t="inlineStr">
        <is>
          <t>study</t>
        </is>
      </c>
    </row>
    <row r="73">
      <c r="A73" t="inlineStr">
        <is>
          <t>IND_TO_ATOM</t>
        </is>
      </c>
      <c r="B73" t="inlineStr">
        <is>
          <t>IND_MELT</t>
        </is>
      </c>
      <c r="C73" t="inlineStr">
        <is>
          <t>GAS_ATOMIZER</t>
        </is>
      </c>
      <c r="D73" t="n">
        <v>0</v>
      </c>
      <c r="E73" t="inlineStr">
        <is>
          <t>kg/d</t>
        </is>
      </c>
      <c r="F73" t="inlineStr">
        <is>
          <t>study</t>
        </is>
      </c>
    </row>
    <row r="74">
      <c r="A74" t="inlineStr">
        <is>
          <t>IND_TO_CONT</t>
        </is>
      </c>
      <c r="B74" t="inlineStr">
        <is>
          <t>IND_MELT</t>
        </is>
      </c>
      <c r="C74" t="inlineStr">
        <is>
          <t>CONT_CAST</t>
        </is>
      </c>
      <c r="D74" t="n">
        <v>31.7125</v>
      </c>
      <c r="E74" t="inlineStr">
        <is>
          <t>kg/d</t>
        </is>
      </c>
      <c r="F74" t="inlineStr">
        <is>
          <t>study</t>
        </is>
      </c>
    </row>
    <row r="75">
      <c r="A75" t="inlineStr">
        <is>
          <t>IND_TO_INV</t>
        </is>
      </c>
      <c r="B75" t="inlineStr">
        <is>
          <t>IND_MELT</t>
        </is>
      </c>
      <c r="C75" t="inlineStr">
        <is>
          <t>INV_CAST</t>
        </is>
      </c>
      <c r="D75" t="n">
        <v>2</v>
      </c>
      <c r="E75" t="inlineStr">
        <is>
          <t>kg/d</t>
        </is>
      </c>
      <c r="F75" t="inlineStr">
        <is>
          <t>study</t>
        </is>
      </c>
    </row>
    <row r="76">
      <c r="A76" t="inlineStr">
        <is>
          <t>INV_TO_BREAK</t>
        </is>
      </c>
      <c r="B76" t="inlineStr">
        <is>
          <t>INV_CAST</t>
        </is>
      </c>
      <c r="C76" t="inlineStr">
        <is>
          <t>SHELL_BREAK</t>
        </is>
      </c>
      <c r="D76" t="n">
        <v>10</v>
      </c>
      <c r="E76" t="inlineStr">
        <is>
          <t>kg/d</t>
        </is>
      </c>
      <c r="F76" t="inlineStr">
        <is>
          <t>study</t>
        </is>
      </c>
    </row>
    <row r="77">
      <c r="A77" t="inlineStr">
        <is>
          <t>METALS_TO_IND_MELT</t>
        </is>
      </c>
      <c r="B77" t="inlineStr">
        <is>
          <t>TI_CELL</t>
        </is>
      </c>
      <c r="C77" t="inlineStr">
        <is>
          <t>IND_MELT</t>
        </is>
      </c>
      <c r="D77" t="n">
        <v>0.5</v>
      </c>
      <c r="E77" t="inlineStr">
        <is>
          <t>kg/d</t>
        </is>
      </c>
      <c r="F77" t="inlineStr">
        <is>
          <t>study</t>
        </is>
      </c>
    </row>
    <row r="78">
      <c r="A78" t="inlineStr">
        <is>
          <t>MFG_SCRAP_TO_IND</t>
        </is>
      </c>
      <c r="B78" t="inlineStr">
        <is>
          <t>MFG_SHOP</t>
        </is>
      </c>
      <c r="C78" t="inlineStr">
        <is>
          <t>IND_MELT</t>
        </is>
      </c>
      <c r="D78" t="n">
        <v>26.161616</v>
      </c>
      <c r="E78" t="inlineStr">
        <is>
          <t>kg/d</t>
        </is>
      </c>
      <c r="F78" t="inlineStr">
        <is>
          <t>study</t>
        </is>
      </c>
    </row>
    <row r="79">
      <c r="A79" t="inlineStr">
        <is>
          <t>MG_POT_CL2</t>
        </is>
      </c>
      <c r="B79" t="inlineStr">
        <is>
          <t>MG_POT</t>
        </is>
      </c>
      <c r="C79" t="inlineStr">
        <is>
          <t>CRU</t>
        </is>
      </c>
      <c r="D79" t="n">
        <v>0</v>
      </c>
      <c r="E79" t="inlineStr">
        <is>
          <t>kg/d</t>
        </is>
      </c>
      <c r="F79" t="inlineStr">
        <is>
          <t>study</t>
        </is>
      </c>
    </row>
    <row r="80">
      <c r="A80" t="inlineStr">
        <is>
          <t>MG_POT_TO_IND</t>
        </is>
      </c>
      <c r="B80" t="inlineStr">
        <is>
          <t>MG_POT</t>
        </is>
      </c>
      <c r="C80" t="inlineStr">
        <is>
          <t>IND_MELT</t>
        </is>
      </c>
      <c r="D80" t="n">
        <v>0</v>
      </c>
      <c r="E80" t="inlineStr">
        <is>
          <t>kg/d</t>
        </is>
      </c>
      <c r="F80" t="inlineStr">
        <is>
          <t>study</t>
        </is>
      </c>
    </row>
    <row r="81">
      <c r="A81" t="inlineStr">
        <is>
          <t>MO_CELL_ANODE_GAS_TO_CRU</t>
        </is>
      </c>
      <c r="B81" t="inlineStr">
        <is>
          <t>MO_CELL</t>
        </is>
      </c>
      <c r="C81" t="inlineStr">
        <is>
          <t>CRU</t>
        </is>
      </c>
      <c r="D81" t="n">
        <v>0</v>
      </c>
      <c r="E81" t="inlineStr">
        <is>
          <t>kg/d</t>
        </is>
      </c>
      <c r="F81" t="inlineStr">
        <is>
          <t>study</t>
        </is>
      </c>
    </row>
    <row r="82">
      <c r="A82" t="inlineStr">
        <is>
          <t>MO_CELL_RAFFINATE</t>
        </is>
      </c>
      <c r="B82" t="inlineStr">
        <is>
          <t>MO_CELL</t>
        </is>
      </c>
      <c r="C82" t="inlineStr">
        <is>
          <t>POLISH_BANK</t>
        </is>
      </c>
      <c r="D82" t="n">
        <v>0</v>
      </c>
      <c r="E82" t="inlineStr">
        <is>
          <t>kg/d</t>
        </is>
      </c>
      <c r="F82" t="inlineStr">
        <is>
          <t>study</t>
        </is>
      </c>
    </row>
    <row r="83">
      <c r="A83" t="inlineStr">
        <is>
          <t>MO_TO_IND</t>
        </is>
      </c>
      <c r="B83" t="inlineStr">
        <is>
          <t>MO_CELL</t>
        </is>
      </c>
      <c r="C83" t="inlineStr">
        <is>
          <t>IND_MELT</t>
        </is>
      </c>
      <c r="D83" t="n">
        <v>0.0625</v>
      </c>
      <c r="E83" t="inlineStr">
        <is>
          <t>kg/d</t>
        </is>
      </c>
      <c r="F83" t="inlineStr">
        <is>
          <t>study</t>
        </is>
      </c>
    </row>
    <row r="84">
      <c r="A84" t="inlineStr">
        <is>
          <t>ROLL_TO_STOCK</t>
        </is>
      </c>
      <c r="B84" t="inlineStr">
        <is>
          <t>ROLL</t>
        </is>
      </c>
      <c r="C84" t="inlineStr">
        <is>
          <t>STOCK_OUT</t>
        </is>
      </c>
      <c r="D84" t="n">
        <v>13</v>
      </c>
      <c r="E84" t="inlineStr">
        <is>
          <t>kg/d</t>
        </is>
      </c>
      <c r="F84" t="inlineStr">
        <is>
          <t>study</t>
        </is>
      </c>
    </row>
    <row r="85">
      <c r="A85" t="inlineStr">
        <is>
          <t>SALT_TO_FLUX</t>
        </is>
      </c>
      <c r="B85" t="inlineStr">
        <is>
          <t>SALT_FEED</t>
        </is>
      </c>
      <c r="C85" t="inlineStr">
        <is>
          <t>FLUX_PREP</t>
        </is>
      </c>
      <c r="D85" t="n">
        <v>0</v>
      </c>
      <c r="E85" t="inlineStr">
        <is>
          <t>kg/d</t>
        </is>
      </c>
      <c r="F85" t="inlineStr">
        <is>
          <t>study</t>
        </is>
      </c>
    </row>
    <row r="86">
      <c r="A86" t="inlineStr">
        <is>
          <t>SF-AL_POT</t>
        </is>
      </c>
      <c r="B86" t="inlineStr">
        <is>
          <t>SOL_ARK_60K</t>
        </is>
      </c>
      <c r="C86" t="inlineStr">
        <is>
          <t>AL_POT</t>
        </is>
      </c>
      <c r="D86" t="n">
        <v>5.6578</v>
      </c>
      <c r="E86" t="inlineStr">
        <is>
          <t>kW</t>
        </is>
      </c>
      <c r="F86" t="inlineStr">
        <is>
          <t>study</t>
        </is>
      </c>
    </row>
    <row r="87">
      <c r="A87" t="inlineStr">
        <is>
          <t>SF-CA_POT</t>
        </is>
      </c>
      <c r="B87" t="inlineStr">
        <is>
          <t>SOL_ARK_60K</t>
        </is>
      </c>
      <c r="C87" t="inlineStr">
        <is>
          <t>CA_POT</t>
        </is>
      </c>
      <c r="D87" t="n">
        <v>0.1221</v>
      </c>
      <c r="E87" t="inlineStr">
        <is>
          <t>kW</t>
        </is>
      </c>
      <c r="F87" t="inlineStr">
        <is>
          <t>study</t>
        </is>
      </c>
    </row>
    <row r="88">
      <c r="A88" t="inlineStr">
        <is>
          <t>SF-COMB_HEAT</t>
        </is>
      </c>
      <c r="B88" t="inlineStr">
        <is>
          <t>SOL_ARK_60K</t>
        </is>
      </c>
      <c r="C88" t="inlineStr">
        <is>
          <t>COMB_HEAT</t>
        </is>
      </c>
      <c r="D88" t="n">
        <v>0.05</v>
      </c>
      <c r="E88" t="inlineStr">
        <is>
          <t>kW</t>
        </is>
      </c>
      <c r="F88" t="inlineStr">
        <is>
          <t>study</t>
        </is>
      </c>
    </row>
    <row r="89">
      <c r="A89" t="inlineStr">
        <is>
          <t>SF-CR_CELL</t>
        </is>
      </c>
      <c r="B89" t="inlineStr">
        <is>
          <t>SOL_ARK_60K</t>
        </is>
      </c>
      <c r="C89" t="inlineStr">
        <is>
          <t>CR_CELL</t>
        </is>
      </c>
      <c r="D89" t="n">
        <v>0.16</v>
      </c>
      <c r="E89" t="inlineStr">
        <is>
          <t>kW</t>
        </is>
      </c>
      <c r="F89" t="inlineStr">
        <is>
          <t>study</t>
        </is>
      </c>
    </row>
    <row r="90">
      <c r="A90" t="inlineStr">
        <is>
          <t>SF-DRAW</t>
        </is>
      </c>
      <c r="B90" t="inlineStr">
        <is>
          <t>SOL_ARK_60K</t>
        </is>
      </c>
      <c r="C90" t="inlineStr">
        <is>
          <t>DRAW</t>
        </is>
      </c>
      <c r="D90" t="n">
        <v>0</v>
      </c>
      <c r="E90" t="inlineStr">
        <is>
          <t>kW</t>
        </is>
      </c>
      <c r="F90" t="inlineStr">
        <is>
          <t>study</t>
        </is>
      </c>
    </row>
    <row r="91">
      <c r="A91" t="inlineStr">
        <is>
          <t>SF-EXTRUDE</t>
        </is>
      </c>
      <c r="B91" t="inlineStr">
        <is>
          <t>SOL_ARK_60K</t>
        </is>
      </c>
      <c r="C91" t="inlineStr">
        <is>
          <t>EXTRUDE</t>
        </is>
      </c>
      <c r="D91" t="n">
        <v>0</v>
      </c>
      <c r="E91" t="inlineStr">
        <is>
          <t>kW</t>
        </is>
      </c>
      <c r="F91" t="inlineStr">
        <is>
          <t>study</t>
        </is>
      </c>
    </row>
    <row r="92">
      <c r="A92" t="inlineStr">
        <is>
          <t>SF-FLUX_PREP</t>
        </is>
      </c>
      <c r="B92" t="inlineStr">
        <is>
          <t>SOL_ARK_60K</t>
        </is>
      </c>
      <c r="C92" t="inlineStr">
        <is>
          <t>FLUX_PREP</t>
        </is>
      </c>
      <c r="D92" t="n">
        <v>0.1</v>
      </c>
      <c r="E92" t="inlineStr">
        <is>
          <t>kW</t>
        </is>
      </c>
      <c r="F92" t="inlineStr">
        <is>
          <t>study</t>
        </is>
      </c>
    </row>
    <row r="93">
      <c r="A93" t="inlineStr">
        <is>
          <t>SF-FORGE</t>
        </is>
      </c>
      <c r="B93" t="inlineStr">
        <is>
          <t>SOL_ARK_60K</t>
        </is>
      </c>
      <c r="C93" t="inlineStr">
        <is>
          <t>FORGE</t>
        </is>
      </c>
      <c r="D93" t="n">
        <v>0</v>
      </c>
      <c r="E93" t="inlineStr">
        <is>
          <t>kW</t>
        </is>
      </c>
      <c r="F93" t="inlineStr">
        <is>
          <t>study</t>
        </is>
      </c>
    </row>
    <row r="94">
      <c r="A94" t="inlineStr">
        <is>
          <t>SF-IND_MELT</t>
        </is>
      </c>
      <c r="B94" t="inlineStr">
        <is>
          <t>SOL_ARK_60K</t>
        </is>
      </c>
      <c r="C94" t="inlineStr">
        <is>
          <t>IND_MELT</t>
        </is>
      </c>
      <c r="D94" t="n">
        <v>0.8854</v>
      </c>
      <c r="E94" t="inlineStr">
        <is>
          <t>kW</t>
        </is>
      </c>
      <c r="F94" t="inlineStr">
        <is>
          <t>study</t>
        </is>
      </c>
    </row>
    <row r="95">
      <c r="A95" t="inlineStr">
        <is>
          <t>SF-INV_CAST</t>
        </is>
      </c>
      <c r="B95" t="inlineStr">
        <is>
          <t>SOL_ARK_60K</t>
        </is>
      </c>
      <c r="C95" t="inlineStr">
        <is>
          <t>INV_CAST</t>
        </is>
      </c>
      <c r="D95" t="n">
        <v>0.15</v>
      </c>
      <c r="E95" t="inlineStr">
        <is>
          <t>kW</t>
        </is>
      </c>
      <c r="F95" t="inlineStr">
        <is>
          <t>study</t>
        </is>
      </c>
    </row>
    <row r="96">
      <c r="A96" t="inlineStr">
        <is>
          <t>SF-MG_POT</t>
        </is>
      </c>
      <c r="B96" t="inlineStr">
        <is>
          <t>SOL_ARK_60K</t>
        </is>
      </c>
      <c r="C96" t="inlineStr">
        <is>
          <t>MG_POT</t>
        </is>
      </c>
      <c r="D96" t="n">
        <v>0.3375</v>
      </c>
      <c r="E96" t="inlineStr">
        <is>
          <t>kW</t>
        </is>
      </c>
      <c r="F96" t="inlineStr">
        <is>
          <t>study</t>
        </is>
      </c>
    </row>
    <row r="97">
      <c r="A97" t="inlineStr">
        <is>
          <t>SF-MO_CELL</t>
        </is>
      </c>
      <c r="B97" t="inlineStr">
        <is>
          <t>SOL_ARK_60K</t>
        </is>
      </c>
      <c r="C97" t="inlineStr">
        <is>
          <t>MO_CELL</t>
        </is>
      </c>
      <c r="D97" t="n">
        <v>0.1141</v>
      </c>
      <c r="E97" t="inlineStr">
        <is>
          <t>kW</t>
        </is>
      </c>
      <c r="F97" t="inlineStr">
        <is>
          <t>study</t>
        </is>
      </c>
    </row>
    <row r="98">
      <c r="A98" t="inlineStr">
        <is>
          <t>SF-RES_HEAT</t>
        </is>
      </c>
      <c r="B98" t="inlineStr">
        <is>
          <t>SOL_ARK_60K</t>
        </is>
      </c>
      <c r="C98" t="inlineStr">
        <is>
          <t>RES_HEAT</t>
        </is>
      </c>
      <c r="D98" t="n">
        <v>0</v>
      </c>
      <c r="E98" t="inlineStr">
        <is>
          <t>kW</t>
        </is>
      </c>
      <c r="F98" t="inlineStr">
        <is>
          <t>study</t>
        </is>
      </c>
    </row>
    <row r="99">
      <c r="A99" t="inlineStr">
        <is>
          <t>SF-RF_HEAT</t>
        </is>
      </c>
      <c r="B99" t="inlineStr">
        <is>
          <t>SOL_ARK_60K</t>
        </is>
      </c>
      <c r="C99" t="inlineStr">
        <is>
          <t>RF_HEAT</t>
        </is>
      </c>
      <c r="D99" t="n">
        <v>0</v>
      </c>
      <c r="E99" t="inlineStr">
        <is>
          <t>kW</t>
        </is>
      </c>
      <c r="F99" t="inlineStr">
        <is>
          <t>study</t>
        </is>
      </c>
    </row>
    <row r="100">
      <c r="A100" t="inlineStr">
        <is>
          <t>SF-SHELL_BREAK</t>
        </is>
      </c>
      <c r="B100" t="inlineStr">
        <is>
          <t>SOL_ARK_60K</t>
        </is>
      </c>
      <c r="C100" t="inlineStr">
        <is>
          <t>SHELL_BREAK</t>
        </is>
      </c>
      <c r="D100" t="n">
        <v>0.4</v>
      </c>
      <c r="E100" t="inlineStr">
        <is>
          <t>kW</t>
        </is>
      </c>
      <c r="F100" t="inlineStr">
        <is>
          <t>study</t>
        </is>
      </c>
    </row>
    <row r="101">
      <c r="A101" t="inlineStr">
        <is>
          <t>SF-SHELL_BUILD</t>
        </is>
      </c>
      <c r="B101" t="inlineStr">
        <is>
          <t>SOL_ARK_60K</t>
        </is>
      </c>
      <c r="C101" t="inlineStr">
        <is>
          <t>SHELL_BUILD</t>
        </is>
      </c>
      <c r="D101" t="n">
        <v>0.3</v>
      </c>
      <c r="E101" t="inlineStr">
        <is>
          <t>kW</t>
        </is>
      </c>
      <c r="F101" t="inlineStr">
        <is>
          <t>study</t>
        </is>
      </c>
    </row>
    <row r="102">
      <c r="A102" t="inlineStr">
        <is>
          <t>SF-SHELL_BURNOUT</t>
        </is>
      </c>
      <c r="B102" t="inlineStr">
        <is>
          <t>SOL_ARK_60K</t>
        </is>
      </c>
      <c r="C102" t="inlineStr">
        <is>
          <t>SHELL_BURNOUT</t>
        </is>
      </c>
      <c r="D102" t="n">
        <v>0.25</v>
      </c>
      <c r="E102" t="inlineStr">
        <is>
          <t>kW</t>
        </is>
      </c>
      <c r="F102" t="inlineStr">
        <is>
          <t>study</t>
        </is>
      </c>
    </row>
    <row r="103">
      <c r="A103" t="inlineStr">
        <is>
          <t>SF-SINTER</t>
        </is>
      </c>
      <c r="B103" t="inlineStr">
        <is>
          <t>SOL_ARK_60K</t>
        </is>
      </c>
      <c r="C103" t="inlineStr">
        <is>
          <t>SINTER</t>
        </is>
      </c>
      <c r="D103" t="n">
        <v>0</v>
      </c>
      <c r="E103" t="inlineStr">
        <is>
          <t>kW</t>
        </is>
      </c>
      <c r="F103" t="inlineStr">
        <is>
          <t>study</t>
        </is>
      </c>
    </row>
    <row r="104">
      <c r="A104" t="inlineStr">
        <is>
          <t>SF-TI_CELL</t>
        </is>
      </c>
      <c r="B104" t="inlineStr">
        <is>
          <t>SOL_ARK_60K</t>
        </is>
      </c>
      <c r="C104" t="inlineStr">
        <is>
          <t>TI_CELL</t>
        </is>
      </c>
      <c r="D104" t="n">
        <v>0.5</v>
      </c>
      <c r="E104" t="inlineStr">
        <is>
          <t>kW</t>
        </is>
      </c>
      <c r="F104" t="inlineStr">
        <is>
          <t>study</t>
        </is>
      </c>
    </row>
    <row r="105">
      <c r="A105" t="inlineStr">
        <is>
          <t>SF-VAC_CAST</t>
        </is>
      </c>
      <c r="B105" t="inlineStr">
        <is>
          <t>SOL_ARK_60K</t>
        </is>
      </c>
      <c r="C105" t="inlineStr">
        <is>
          <t>VAC_CAST</t>
        </is>
      </c>
      <c r="D105" t="n">
        <v>0</v>
      </c>
      <c r="E105" t="inlineStr">
        <is>
          <t>kW</t>
        </is>
      </c>
      <c r="F105" t="inlineStr">
        <is>
          <t>study</t>
        </is>
      </c>
    </row>
    <row r="106">
      <c r="A106" t="inlineStr">
        <is>
          <t>SF-VAC_IND</t>
        </is>
      </c>
      <c r="B106" t="inlineStr">
        <is>
          <t>SOL_ARK_60K</t>
        </is>
      </c>
      <c r="C106" t="inlineStr">
        <is>
          <t>VAC_IND</t>
        </is>
      </c>
      <c r="D106" t="n">
        <v>0</v>
      </c>
      <c r="E106" t="inlineStr">
        <is>
          <t>kW</t>
        </is>
      </c>
      <c r="F106" t="inlineStr">
        <is>
          <t>study</t>
        </is>
      </c>
    </row>
    <row r="107">
      <c r="A107" t="inlineStr">
        <is>
          <t>SF-WAX_PATTERN</t>
        </is>
      </c>
      <c r="B107" t="inlineStr">
        <is>
          <t>SOL_ARK_60K</t>
        </is>
      </c>
      <c r="C107" t="inlineStr">
        <is>
          <t>WAX_PATTERN</t>
        </is>
      </c>
      <c r="D107" t="n">
        <v>0.5</v>
      </c>
      <c r="E107" t="inlineStr">
        <is>
          <t>kW</t>
        </is>
      </c>
      <c r="F107" t="inlineStr">
        <is>
          <t>study</t>
        </is>
      </c>
    </row>
    <row r="108">
      <c r="A108" t="inlineStr">
        <is>
          <t>SHELL_TO_BURNOUT</t>
        </is>
      </c>
      <c r="B108" t="inlineStr">
        <is>
          <t>SHELL_BUILD</t>
        </is>
      </c>
      <c r="C108" t="inlineStr">
        <is>
          <t>SHELL_BURNOUT</t>
        </is>
      </c>
      <c r="D108" t="n">
        <v>10</v>
      </c>
      <c r="E108" t="inlineStr">
        <is>
          <t>kg/d</t>
        </is>
      </c>
      <c r="F108" t="inlineStr">
        <is>
          <t>study</t>
        </is>
      </c>
    </row>
    <row r="109">
      <c r="A109" t="inlineStr">
        <is>
          <t>SHELL_TO_GLASS</t>
        </is>
      </c>
      <c r="B109" t="inlineStr">
        <is>
          <t>SHELL_BREAK</t>
        </is>
      </c>
      <c r="C109" t="inlineStr">
        <is>
          <t>GLASS_MILL</t>
        </is>
      </c>
      <c r="D109" t="n">
        <v>0</v>
      </c>
      <c r="E109" t="inlineStr">
        <is>
          <t>kg/d</t>
        </is>
      </c>
      <c r="F109" t="inlineStr">
        <is>
          <t>study</t>
        </is>
      </c>
    </row>
    <row r="110">
      <c r="A110" t="inlineStr">
        <is>
          <t>SINTER_TO_STOCK</t>
        </is>
      </c>
      <c r="B110" t="inlineStr">
        <is>
          <t>SINTER</t>
        </is>
      </c>
      <c r="C110" t="inlineStr">
        <is>
          <t>STOCK_OUT</t>
        </is>
      </c>
      <c r="D110" t="n">
        <v>0</v>
      </c>
      <c r="E110" t="inlineStr">
        <is>
          <t>kg/d</t>
        </is>
      </c>
      <c r="F110" t="inlineStr">
        <is>
          <t>study</t>
        </is>
      </c>
    </row>
    <row r="111">
      <c r="A111" t="inlineStr">
        <is>
          <t>STOCK_TO_FAB</t>
        </is>
      </c>
      <c r="B111" t="inlineStr">
        <is>
          <t>METAL_STORE</t>
        </is>
      </c>
      <c r="C111" t="inlineStr">
        <is>
          <t>WAFER_FAB</t>
        </is>
      </c>
      <c r="D111" t="n">
        <v>0</v>
      </c>
      <c r="E111" t="inlineStr">
        <is>
          <t>kg/d</t>
        </is>
      </c>
      <c r="F111" t="inlineStr">
        <is>
          <t>study</t>
        </is>
      </c>
    </row>
    <row r="112">
      <c r="A112" t="inlineStr">
        <is>
          <t>STOCK_TO_MFG</t>
        </is>
      </c>
      <c r="B112" t="inlineStr">
        <is>
          <t>METAL_STORE</t>
        </is>
      </c>
      <c r="C112" t="inlineStr">
        <is>
          <t>MFG_SHOP</t>
        </is>
      </c>
      <c r="D112" t="n">
        <v>25.9</v>
      </c>
      <c r="E112" t="inlineStr">
        <is>
          <t>kg/d</t>
        </is>
      </c>
      <c r="F112" t="inlineStr">
        <is>
          <t>study</t>
        </is>
      </c>
    </row>
    <row r="113">
      <c r="A113" t="inlineStr">
        <is>
          <t>STOCK_TO_WIRE_DRAW</t>
        </is>
      </c>
      <c r="B113" t="inlineStr">
        <is>
          <t>METAL_STORE</t>
        </is>
      </c>
      <c r="C113" t="inlineStr">
        <is>
          <t>WIRE_DRAW</t>
        </is>
      </c>
      <c r="D113" t="n">
        <v>0</v>
      </c>
      <c r="E113" t="inlineStr">
        <is>
          <t>kg/d</t>
        </is>
      </c>
      <c r="F113" t="inlineStr">
        <is>
          <t>study</t>
        </is>
      </c>
    </row>
    <row r="114">
      <c r="A114" t="inlineStr">
        <is>
          <t>TI_CELL_CL2_TO_CRU</t>
        </is>
      </c>
      <c r="B114" t="inlineStr">
        <is>
          <t>TI_CELL</t>
        </is>
      </c>
      <c r="C114" t="inlineStr">
        <is>
          <t>CRU</t>
        </is>
      </c>
      <c r="D114" t="n">
        <v>0</v>
      </c>
      <c r="E114" t="inlineStr">
        <is>
          <t>kg/d</t>
        </is>
      </c>
      <c r="F114" t="inlineStr">
        <is>
          <t>study</t>
        </is>
      </c>
    </row>
    <row r="115">
      <c r="A115" t="inlineStr">
        <is>
          <t>TI_CELL_SLAG_RETURN</t>
        </is>
      </c>
      <c r="B115" t="inlineStr">
        <is>
          <t>TI_CELL</t>
        </is>
      </c>
      <c r="C115" t="inlineStr">
        <is>
          <t>LEACH_CSTR_1</t>
        </is>
      </c>
      <c r="D115" t="n">
        <v>0</v>
      </c>
      <c r="E115" t="inlineStr">
        <is>
          <t>kg/d</t>
        </is>
      </c>
      <c r="F115" t="inlineStr">
        <is>
          <t>study</t>
        </is>
      </c>
    </row>
    <row r="116">
      <c r="A116" t="inlineStr">
        <is>
          <t>VAC_HEAT_TO_HX</t>
        </is>
      </c>
      <c r="B116" t="inlineStr">
        <is>
          <t>VAC_IND</t>
        </is>
      </c>
      <c r="C116" t="inlineStr">
        <is>
          <t>MET_HX_Q4</t>
        </is>
      </c>
      <c r="D116" t="n">
        <v>0.638</v>
      </c>
      <c r="E116" t="inlineStr">
        <is>
          <t>kW</t>
        </is>
      </c>
      <c r="F116" t="inlineStr">
        <is>
          <t>study</t>
        </is>
      </c>
    </row>
    <row r="117">
      <c r="A117" t="inlineStr">
        <is>
          <t>VAC_IND_TI</t>
        </is>
      </c>
      <c r="B117" t="inlineStr">
        <is>
          <t>TI_CELL</t>
        </is>
      </c>
      <c r="C117" t="inlineStr">
        <is>
          <t>VAC_IND</t>
        </is>
      </c>
      <c r="D117" t="n">
        <v>0</v>
      </c>
      <c r="E117" t="inlineStr">
        <is>
          <t>kg/d</t>
        </is>
      </c>
      <c r="F117" t="inlineStr">
        <is>
          <t>study</t>
        </is>
      </c>
    </row>
    <row r="118">
      <c r="A118" t="inlineStr">
        <is>
          <t>VAC_IND_TO_VAC_CAST</t>
        </is>
      </c>
      <c r="B118" t="inlineStr">
        <is>
          <t>VAC_IND</t>
        </is>
      </c>
      <c r="C118" t="inlineStr">
        <is>
          <t>VAC_CAST</t>
        </is>
      </c>
      <c r="D118" t="n">
        <v>0</v>
      </c>
      <c r="E118" t="inlineStr">
        <is>
          <t>kg/d</t>
        </is>
      </c>
      <c r="F118" t="inlineStr">
        <is>
          <t>study</t>
        </is>
      </c>
    </row>
    <row r="119">
      <c r="A119" t="inlineStr">
        <is>
          <t>VAC_TO_INV</t>
        </is>
      </c>
      <c r="B119" t="inlineStr">
        <is>
          <t>VAC_IND</t>
        </is>
      </c>
      <c r="C119" t="inlineStr">
        <is>
          <t>INV_CAST</t>
        </is>
      </c>
      <c r="D119" t="n">
        <v>0</v>
      </c>
      <c r="E119" t="inlineStr">
        <is>
          <t>kg/d</t>
        </is>
      </c>
      <c r="F119" t="inlineStr">
        <is>
          <t>study</t>
        </is>
      </c>
    </row>
    <row r="120">
      <c r="A120" t="inlineStr">
        <is>
          <t>WAX_RECLAIM_TO_PATTERN</t>
        </is>
      </c>
      <c r="B120" t="inlineStr">
        <is>
          <t>SHELL_BURNOUT</t>
        </is>
      </c>
      <c r="C120" t="inlineStr">
        <is>
          <t>WAX_PATTERN</t>
        </is>
      </c>
      <c r="D120" t="n">
        <v>1.8</v>
      </c>
      <c r="E120" t="inlineStr">
        <is>
          <t>kg/d</t>
        </is>
      </c>
      <c r="F120" t="inlineStr">
        <is>
          <t>study</t>
        </is>
      </c>
    </row>
    <row r="121">
      <c r="A121" t="inlineStr">
        <is>
          <t>WAX_TO_OIL</t>
        </is>
      </c>
      <c r="B121" t="inlineStr">
        <is>
          <t>SHELL_BURNOUT</t>
        </is>
      </c>
      <c r="C121" t="inlineStr">
        <is>
          <t>OIL_FRAC</t>
        </is>
      </c>
      <c r="D121" t="n">
        <v>0</v>
      </c>
      <c r="E121" t="inlineStr">
        <is>
          <t>kg/d</t>
        </is>
      </c>
      <c r="F121" t="inlineStr">
        <is>
          <t>study</t>
        </is>
      </c>
    </row>
    <row r="122">
      <c r="A122" t="inlineStr">
        <is>
          <t>WAX_TO_SHELL</t>
        </is>
      </c>
      <c r="B122" t="inlineStr">
        <is>
          <t>WAX_PATTERN</t>
        </is>
      </c>
      <c r="C122" t="inlineStr">
        <is>
          <t>SHELL_BUILD</t>
        </is>
      </c>
      <c r="D122" t="n">
        <v>2</v>
      </c>
      <c r="E122" t="inlineStr">
        <is>
          <t>kg/d</t>
        </is>
      </c>
      <c r="F122" t="inlineStr">
        <is>
          <t>study</t>
        </is>
      </c>
    </row>
  </sheetData>
  <autoFilter ref="A1:H2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8" customWidth="1" min="3" max="3"/>
    <col width="10" customWidth="1" min="4" max="4"/>
    <col width="12" customWidth="1" min="5" max="5"/>
    <col width="16" customWidth="1" min="6" max="6"/>
    <col width="9" customWidth="1" min="7" max="7"/>
    <col width="13" customWidth="1" min="8" max="8"/>
  </cols>
  <sheetData>
    <row r="1">
      <c r="A1" s="3" t="inlineStr">
        <is>
          <t>unit_id</t>
        </is>
      </c>
      <c r="B1" s="3" t="inlineStr">
        <is>
          <t>continuous_kw</t>
        </is>
      </c>
      <c r="C1" s="3" t="inlineStr">
        <is>
          <t>kw_unit</t>
        </is>
      </c>
      <c r="D1" s="3" t="inlineStr">
        <is>
          <t>kw_status</t>
        </is>
      </c>
      <c r="E1" s="3" t="inlineStr">
        <is>
          <t>presence</t>
        </is>
      </c>
      <c r="F1" s="3" t="inlineStr">
        <is>
          <t>class</t>
        </is>
      </c>
      <c r="G1" s="3" t="inlineStr">
        <is>
          <t>enabled</t>
        </is>
      </c>
      <c r="H1" s="3" t="inlineStr">
        <is>
          <t>graph_sector</t>
        </is>
      </c>
    </row>
    <row r="2">
      <c r="A2" t="inlineStr">
        <is>
          <t>NUTRIENT_DOSE</t>
        </is>
      </c>
      <c r="B2" s="8" t="n">
        <v>0.0245</v>
      </c>
      <c r="C2" t="inlineStr">
        <is>
          <t>kW</t>
        </is>
      </c>
      <c r="D2" t="inlineStr">
        <is>
          <t>study</t>
        </is>
      </c>
      <c r="E2" t="inlineStr">
        <is>
          <t>present</t>
        </is>
      </c>
      <c r="F2" t="inlineStr">
        <is>
          <t>dose</t>
        </is>
      </c>
      <c r="G2" t="b">
        <v>1</v>
      </c>
      <c r="H2" t="inlineStr">
        <is>
          <t>NUT</t>
        </is>
      </c>
    </row>
    <row r="4">
      <c r="A4" s="1" t="inlineStr">
        <is>
          <t>SUBTOTAL continuous kW (SUM)</t>
        </is>
      </c>
      <c r="B4" s="10">
        <f>SUM(B2:B2)</f>
        <v/>
      </c>
    </row>
    <row r="6">
      <c r="A6" s="9" t="inlineStr">
        <is>
          <t>EDGES TOUCHING THIS SECTOR (from or to)</t>
        </is>
      </c>
    </row>
    <row r="7">
      <c r="A7" s="3" t="inlineStr">
        <is>
          <t>stream_id</t>
        </is>
      </c>
      <c r="B7" s="3" t="inlineStr">
        <is>
          <t>from_unit</t>
        </is>
      </c>
      <c r="C7" s="3" t="inlineStr">
        <is>
          <t>to_unit</t>
        </is>
      </c>
      <c r="D7" s="3" t="inlineStr">
        <is>
          <t>rate</t>
        </is>
      </c>
      <c r="E7" s="3" t="inlineStr">
        <is>
          <t>unit</t>
        </is>
      </c>
      <c r="F7" s="3" t="inlineStr">
        <is>
          <t>status</t>
        </is>
      </c>
    </row>
    <row r="8">
      <c r="A8" t="inlineStr">
        <is>
          <t>IA-BLK-NUT</t>
        </is>
      </c>
      <c r="B8" t="inlineStr">
        <is>
          <t>BLACK_DIGEST</t>
        </is>
      </c>
      <c r="C8" t="inlineStr">
        <is>
          <t>NUTRIENT_DOSE</t>
        </is>
      </c>
      <c r="D8" t="n">
        <v>0.9</v>
      </c>
      <c r="E8" t="inlineStr">
        <is>
          <t>kg/d</t>
        </is>
      </c>
      <c r="F8" t="inlineStr">
        <is>
          <t>study</t>
        </is>
      </c>
    </row>
    <row r="9">
      <c r="A9" t="inlineStr">
        <is>
          <t>IA-LEACH-BD</t>
        </is>
      </c>
      <c r="B9" t="inlineStr">
        <is>
          <t>LEACH_CSTR_1</t>
        </is>
      </c>
      <c r="C9" t="inlineStr">
        <is>
          <t>NUTRIENT_DOSE</t>
        </is>
      </c>
      <c r="D9" t="n">
        <v>109.63</v>
      </c>
      <c r="E9" t="inlineStr">
        <is>
          <t>kg/d</t>
        </is>
      </c>
      <c r="F9" t="inlineStr">
        <is>
          <t>study</t>
        </is>
      </c>
    </row>
    <row r="10">
      <c r="A10" t="inlineStr">
        <is>
          <t>IA-NOX-N</t>
        </is>
      </c>
      <c r="B10" t="inlineStr">
        <is>
          <t>NOX_SCRUB</t>
        </is>
      </c>
      <c r="C10" t="inlineStr">
        <is>
          <t>NUTRIENT_DOSE</t>
        </is>
      </c>
      <c r="D10" t="n">
        <v>20.047016</v>
      </c>
      <c r="E10" t="inlineStr">
        <is>
          <t>kg/d</t>
        </is>
      </c>
      <c r="F10" t="inlineStr">
        <is>
          <t>study</t>
        </is>
      </c>
    </row>
    <row r="11">
      <c r="A11" t="inlineStr">
        <is>
          <t>IA-NUT-01</t>
        </is>
      </c>
      <c r="B11" t="inlineStr">
        <is>
          <t>NUTRIENT_DOSE</t>
        </is>
      </c>
      <c r="C11" t="inlineStr">
        <is>
          <t>VCD_TRAIN</t>
        </is>
      </c>
      <c r="D11" t="n">
        <v>13.930007</v>
      </c>
      <c r="E11" t="inlineStr">
        <is>
          <t>kg/d</t>
        </is>
      </c>
      <c r="F11" t="inlineStr">
        <is>
          <t>study</t>
        </is>
      </c>
    </row>
    <row r="12">
      <c r="A12" t="inlineStr">
        <is>
          <t>IA-NUT-BED</t>
        </is>
      </c>
      <c r="B12" t="inlineStr">
        <is>
          <t>NUTRIENT_DOSE</t>
        </is>
      </c>
      <c r="C12" t="inlineStr">
        <is>
          <t>GROW_BED</t>
        </is>
      </c>
      <c r="D12" t="n">
        <v>31.363502</v>
      </c>
      <c r="E12" t="inlineStr">
        <is>
          <t>kg/d</t>
        </is>
      </c>
      <c r="F12" t="inlineStr">
        <is>
          <t>study</t>
        </is>
      </c>
    </row>
    <row r="13">
      <c r="A13" t="inlineStr">
        <is>
          <t>IA-NUT-LEACH</t>
        </is>
      </c>
      <c r="B13" t="inlineStr">
        <is>
          <t>NUTRIENT_DOSE</t>
        </is>
      </c>
      <c r="C13" t="inlineStr">
        <is>
          <t>LEACH_CSTR_1</t>
        </is>
      </c>
      <c r="D13" t="n">
        <v>82.317318</v>
      </c>
      <c r="E13" t="inlineStr">
        <is>
          <t>kg/d</t>
        </is>
      </c>
      <c r="F13" t="inlineStr">
        <is>
          <t>study</t>
        </is>
      </c>
    </row>
    <row r="14">
      <c r="A14" t="inlineStr">
        <is>
          <t>IA-SIC-RET</t>
        </is>
      </c>
      <c r="B14" t="inlineStr">
        <is>
          <t>NUTRIENT_DOSE</t>
        </is>
      </c>
      <c r="C14" t="inlineStr">
        <is>
          <t>LEACH_CSTR_1</t>
        </is>
      </c>
      <c r="D14" t="n">
        <v>0.466189</v>
      </c>
      <c r="E14" t="inlineStr">
        <is>
          <t>kg/d</t>
        </is>
      </c>
      <c r="F14" t="inlineStr">
        <is>
          <t>study</t>
        </is>
      </c>
    </row>
    <row r="15">
      <c r="A15" t="inlineStr">
        <is>
          <t>NUT_TO_BED</t>
        </is>
      </c>
      <c r="B15" t="inlineStr">
        <is>
          <t>NUTRIENT_DOSE</t>
        </is>
      </c>
      <c r="C15" t="inlineStr">
        <is>
          <t>GROW_BED</t>
        </is>
      </c>
      <c r="D15" t="n">
        <v>0</v>
      </c>
      <c r="E15" t="inlineStr">
        <is>
          <t>kg/d</t>
        </is>
      </c>
      <c r="F15" t="inlineStr">
        <is>
          <t>study</t>
        </is>
      </c>
    </row>
    <row r="16">
      <c r="A16" t="inlineStr">
        <is>
          <t>S07</t>
        </is>
      </c>
      <c r="B16" t="inlineStr">
        <is>
          <t>NUTRIENT_DOSE</t>
        </is>
      </c>
      <c r="C16" t="inlineStr">
        <is>
          <t>GROW_BED</t>
        </is>
      </c>
      <c r="D16" t="n">
        <v>2.5</v>
      </c>
      <c r="E16" t="inlineStr">
        <is>
          <t>kg/d</t>
        </is>
      </c>
      <c r="F16" t="inlineStr">
        <is>
          <t>study</t>
        </is>
      </c>
    </row>
    <row r="17">
      <c r="A17" t="inlineStr">
        <is>
          <t>S30</t>
        </is>
      </c>
      <c r="B17" t="inlineStr">
        <is>
          <t>BLACK_DIGEST</t>
        </is>
      </c>
      <c r="C17" t="inlineStr">
        <is>
          <t>NUTRIENT_DOSE</t>
        </is>
      </c>
      <c r="F17" t="inlineStr">
        <is>
          <t>null</t>
        </is>
      </c>
    </row>
    <row r="18">
      <c r="A18" t="inlineStr">
        <is>
          <t>SF-NUTRIENT_DOSE</t>
        </is>
      </c>
      <c r="B18" t="inlineStr">
        <is>
          <t>SOL_ARK_60K</t>
        </is>
      </c>
      <c r="C18" t="inlineStr">
        <is>
          <t>NUTRIENT_DOSE</t>
        </is>
      </c>
      <c r="D18" t="n">
        <v>0.0245</v>
      </c>
      <c r="E18" t="inlineStr">
        <is>
          <t>kW</t>
        </is>
      </c>
      <c r="F18" t="inlineStr">
        <is>
          <t>study</t>
        </is>
      </c>
    </row>
  </sheetData>
  <autoFilter ref="A1:H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8" customWidth="1" min="3" max="3"/>
    <col width="10" customWidth="1" min="4" max="4"/>
    <col width="12" customWidth="1" min="5" max="5"/>
    <col width="16" customWidth="1" min="6" max="6"/>
    <col width="9" customWidth="1" min="7" max="7"/>
    <col width="13" customWidth="1" min="8" max="8"/>
  </cols>
  <sheetData>
    <row r="1">
      <c r="A1" s="3" t="inlineStr">
        <is>
          <t>unit_id</t>
        </is>
      </c>
      <c r="B1" s="3" t="inlineStr">
        <is>
          <t>continuous_kw</t>
        </is>
      </c>
      <c r="C1" s="3" t="inlineStr">
        <is>
          <t>kw_unit</t>
        </is>
      </c>
      <c r="D1" s="3" t="inlineStr">
        <is>
          <t>kw_status</t>
        </is>
      </c>
      <c r="E1" s="3" t="inlineStr">
        <is>
          <t>presence</t>
        </is>
      </c>
      <c r="F1" s="3" t="inlineStr">
        <is>
          <t>class</t>
        </is>
      </c>
      <c r="G1" s="3" t="inlineStr">
        <is>
          <t>enabled</t>
        </is>
      </c>
      <c r="H1" s="3" t="inlineStr">
        <is>
          <t>graph_sector</t>
        </is>
      </c>
    </row>
    <row r="2">
      <c r="A2" t="inlineStr">
        <is>
          <t>FOOD_STORE</t>
        </is>
      </c>
      <c r="E2" t="inlineStr">
        <is>
          <t>present</t>
        </is>
      </c>
      <c r="F2" t="inlineStr">
        <is>
          <t>store</t>
        </is>
      </c>
      <c r="G2" t="b">
        <v>1</v>
      </c>
      <c r="H2" t="inlineStr">
        <is>
          <t>FARM</t>
        </is>
      </c>
    </row>
    <row r="3">
      <c r="A3" t="inlineStr">
        <is>
          <t>GROW_BED</t>
        </is>
      </c>
      <c r="B3" s="8" t="n">
        <v>2.0463</v>
      </c>
      <c r="C3" t="inlineStr">
        <is>
          <t>kW</t>
        </is>
      </c>
      <c r="D3" t="inlineStr">
        <is>
          <t>study</t>
        </is>
      </c>
      <c r="E3" t="inlineStr">
        <is>
          <t>present</t>
        </is>
      </c>
      <c r="F3" t="inlineStr">
        <is>
          <t>farm</t>
        </is>
      </c>
      <c r="G3" t="b">
        <v>1</v>
      </c>
      <c r="H3" t="inlineStr">
        <is>
          <t>FARM</t>
        </is>
      </c>
    </row>
    <row r="5">
      <c r="A5" s="1" t="inlineStr">
        <is>
          <t>SUBTOTAL continuous kW (SUM)</t>
        </is>
      </c>
      <c r="B5" s="10">
        <f>SUM(B2:B3)</f>
        <v/>
      </c>
    </row>
    <row r="7">
      <c r="A7" s="9" t="inlineStr">
        <is>
          <t>EDGES TOUCHING THIS SECTOR (from or to)</t>
        </is>
      </c>
    </row>
    <row r="8">
      <c r="A8" s="3" t="inlineStr">
        <is>
          <t>stream_id</t>
        </is>
      </c>
      <c r="B8" s="3" t="inlineStr">
        <is>
          <t>from_unit</t>
        </is>
      </c>
      <c r="C8" s="3" t="inlineStr">
        <is>
          <t>to_unit</t>
        </is>
      </c>
      <c r="D8" s="3" t="inlineStr">
        <is>
          <t>rate</t>
        </is>
      </c>
      <c r="E8" s="3" t="inlineStr">
        <is>
          <t>unit</t>
        </is>
      </c>
      <c r="F8" s="3" t="inlineStr">
        <is>
          <t>status</t>
        </is>
      </c>
    </row>
    <row r="9">
      <c r="A9" t="inlineStr">
        <is>
          <t>CO2_TO_FARM</t>
        </is>
      </c>
      <c r="B9" t="inlineStr">
        <is>
          <t>HDR_CO2</t>
        </is>
      </c>
      <c r="C9" t="inlineStr">
        <is>
          <t>GROW_BED</t>
        </is>
      </c>
      <c r="D9" t="n">
        <v>0</v>
      </c>
      <c r="E9" t="inlineStr">
        <is>
          <t>kg/d</t>
        </is>
      </c>
      <c r="F9" t="inlineStr">
        <is>
          <t>study</t>
        </is>
      </c>
    </row>
    <row r="10">
      <c r="A10" t="inlineStr">
        <is>
          <t>FARM_O2_TO_HAB</t>
        </is>
      </c>
      <c r="B10" t="inlineStr">
        <is>
          <t>GROW_BED</t>
        </is>
      </c>
      <c r="C10" t="inlineStr">
        <is>
          <t>HABITATION</t>
        </is>
      </c>
      <c r="D10" t="n">
        <v>0</v>
      </c>
      <c r="E10" t="inlineStr">
        <is>
          <t>kg/d</t>
        </is>
      </c>
      <c r="F10" t="inlineStr">
        <is>
          <t>study</t>
        </is>
      </c>
    </row>
    <row r="11">
      <c r="A11" t="inlineStr">
        <is>
          <t>IA-BED-H2O</t>
        </is>
      </c>
      <c r="B11" t="inlineStr">
        <is>
          <t>ROOF_TANK</t>
        </is>
      </c>
      <c r="C11" t="inlineStr">
        <is>
          <t>GROW_BED</t>
        </is>
      </c>
      <c r="D11" t="n">
        <v>42.138417</v>
      </c>
      <c r="E11" t="inlineStr">
        <is>
          <t>kg/d</t>
        </is>
      </c>
      <c r="F11" t="inlineStr">
        <is>
          <t>study</t>
        </is>
      </c>
    </row>
    <row r="12">
      <c r="A12" t="inlineStr">
        <is>
          <t>IA-BED-VAP</t>
        </is>
      </c>
      <c r="B12" t="inlineStr">
        <is>
          <t>GROW_BED</t>
        </is>
      </c>
      <c r="C12" t="inlineStr">
        <is>
          <t>CRYO_AHU</t>
        </is>
      </c>
      <c r="D12" t="n">
        <v>67.443215</v>
      </c>
      <c r="E12" t="inlineStr">
        <is>
          <t>kg/d</t>
        </is>
      </c>
      <c r="F12" t="inlineStr">
        <is>
          <t>study</t>
        </is>
      </c>
    </row>
    <row r="13">
      <c r="A13" t="inlineStr">
        <is>
          <t>IA-NUT-BED</t>
        </is>
      </c>
      <c r="B13" t="inlineStr">
        <is>
          <t>NUTRIENT_DOSE</t>
        </is>
      </c>
      <c r="C13" t="inlineStr">
        <is>
          <t>GROW_BED</t>
        </is>
      </c>
      <c r="D13" t="n">
        <v>31.363502</v>
      </c>
      <c r="E13" t="inlineStr">
        <is>
          <t>kg/d</t>
        </is>
      </c>
      <c r="F13" t="inlineStr">
        <is>
          <t>study</t>
        </is>
      </c>
    </row>
    <row r="14">
      <c r="A14" t="inlineStr">
        <is>
          <t>NUT_TO_BED</t>
        </is>
      </c>
      <c r="B14" t="inlineStr">
        <is>
          <t>NUTRIENT_DOSE</t>
        </is>
      </c>
      <c r="C14" t="inlineStr">
        <is>
          <t>GROW_BED</t>
        </is>
      </c>
      <c r="D14" t="n">
        <v>0</v>
      </c>
      <c r="E14" t="inlineStr">
        <is>
          <t>kg/d</t>
        </is>
      </c>
      <c r="F14" t="inlineStr">
        <is>
          <t>study</t>
        </is>
      </c>
    </row>
    <row r="15">
      <c r="A15" t="inlineStr">
        <is>
          <t>S04</t>
        </is>
      </c>
      <c r="B15" t="inlineStr">
        <is>
          <t>CRYO_CO2</t>
        </is>
      </c>
      <c r="C15" t="inlineStr">
        <is>
          <t>GROW_BED</t>
        </is>
      </c>
      <c r="D15" t="n">
        <v>0</v>
      </c>
      <c r="E15" t="inlineStr">
        <is>
          <t>kg/d</t>
        </is>
      </c>
      <c r="F15" t="inlineStr">
        <is>
          <t>study</t>
        </is>
      </c>
    </row>
    <row r="16">
      <c r="A16" t="inlineStr">
        <is>
          <t>S07</t>
        </is>
      </c>
      <c r="B16" t="inlineStr">
        <is>
          <t>NUTRIENT_DOSE</t>
        </is>
      </c>
      <c r="C16" t="inlineStr">
        <is>
          <t>GROW_BED</t>
        </is>
      </c>
      <c r="D16" t="n">
        <v>2.5</v>
      </c>
      <c r="E16" t="inlineStr">
        <is>
          <t>kg/d</t>
        </is>
      </c>
      <c r="F16" t="inlineStr">
        <is>
          <t>study</t>
        </is>
      </c>
    </row>
    <row r="17">
      <c r="A17" t="inlineStr">
        <is>
          <t>S11</t>
        </is>
      </c>
      <c r="B17" t="inlineStr">
        <is>
          <t>GROW_BED</t>
        </is>
      </c>
      <c r="C17" t="inlineStr">
        <is>
          <t>AFTERBURNER</t>
        </is>
      </c>
      <c r="D17" t="n">
        <v>0.8</v>
      </c>
      <c r="E17" t="inlineStr">
        <is>
          <t>kg/d</t>
        </is>
      </c>
      <c r="F17" t="inlineStr">
        <is>
          <t>study</t>
        </is>
      </c>
    </row>
    <row r="18">
      <c r="A18" t="inlineStr">
        <is>
          <t>S13</t>
        </is>
      </c>
      <c r="B18" t="inlineStr">
        <is>
          <t>GROW_BED</t>
        </is>
      </c>
      <c r="C18" t="inlineStr">
        <is>
          <t>VCD_TRAIN</t>
        </is>
      </c>
      <c r="D18" t="n">
        <v>3.799494</v>
      </c>
      <c r="E18" t="inlineStr">
        <is>
          <t>kg/d</t>
        </is>
      </c>
      <c r="F18" t="inlineStr">
        <is>
          <t>study</t>
        </is>
      </c>
    </row>
    <row r="19">
      <c r="A19" t="inlineStr">
        <is>
          <t>S14</t>
        </is>
      </c>
      <c r="B19" t="inlineStr">
        <is>
          <t>GROW_BED</t>
        </is>
      </c>
      <c r="C19" t="inlineStr">
        <is>
          <t>FOOD_STORE</t>
        </is>
      </c>
      <c r="D19" t="n">
        <v>4.2</v>
      </c>
      <c r="E19" t="inlineStr">
        <is>
          <t>kg/d</t>
        </is>
      </c>
      <c r="F19" t="inlineStr">
        <is>
          <t>study</t>
        </is>
      </c>
    </row>
    <row r="20">
      <c r="A20" t="inlineStr">
        <is>
          <t>S14D</t>
        </is>
      </c>
      <c r="B20" t="inlineStr">
        <is>
          <t>FOOD_STORE</t>
        </is>
      </c>
      <c r="C20" t="inlineStr">
        <is>
          <t>HABITATION</t>
        </is>
      </c>
      <c r="D20" t="n">
        <v>4.2</v>
      </c>
      <c r="E20" t="inlineStr">
        <is>
          <t>kg/d</t>
        </is>
      </c>
      <c r="F20" t="inlineStr">
        <is>
          <t>study</t>
        </is>
      </c>
    </row>
    <row r="21">
      <c r="A21" t="inlineStr">
        <is>
          <t>S15</t>
        </is>
      </c>
      <c r="B21" t="inlineStr">
        <is>
          <t>GROW_BED</t>
        </is>
      </c>
      <c r="C21" t="inlineStr">
        <is>
          <t>HABITATION</t>
        </is>
      </c>
      <c r="D21" t="n">
        <v>0</v>
      </c>
      <c r="E21" t="inlineStr">
        <is>
          <t>kg/d</t>
        </is>
      </c>
      <c r="F21" t="inlineStr">
        <is>
          <t>study</t>
        </is>
      </c>
    </row>
    <row r="22">
      <c r="A22" t="inlineStr">
        <is>
          <t>S20</t>
        </is>
      </c>
      <c r="B22" t="inlineStr">
        <is>
          <t>SOL_ARK_60K</t>
        </is>
      </c>
      <c r="C22" t="inlineStr">
        <is>
          <t>GROW_BED</t>
        </is>
      </c>
      <c r="D22" t="n">
        <v>2.0463</v>
      </c>
      <c r="E22" t="inlineStr">
        <is>
          <t>kW</t>
        </is>
      </c>
      <c r="F22" t="inlineStr">
        <is>
          <t>study</t>
        </is>
      </c>
    </row>
    <row r="23">
      <c r="A23" t="inlineStr">
        <is>
          <t>S87</t>
        </is>
      </c>
      <c r="B23" t="inlineStr">
        <is>
          <t>GROW_BED</t>
        </is>
      </c>
      <c r="C23" t="inlineStr">
        <is>
          <t>CRYO_O2</t>
        </is>
      </c>
      <c r="D23" t="n">
        <v>0.641572</v>
      </c>
      <c r="E23" t="inlineStr">
        <is>
          <t>kg/d</t>
        </is>
      </c>
      <c r="F23" t="inlineStr">
        <is>
          <t>study</t>
        </is>
      </c>
    </row>
    <row r="24">
      <c r="A24" t="inlineStr">
        <is>
          <t>S88</t>
        </is>
      </c>
      <c r="B24" t="inlineStr">
        <is>
          <t>CRYO_N2</t>
        </is>
      </c>
      <c r="C24" t="inlineStr">
        <is>
          <t>GROW_BED</t>
        </is>
      </c>
      <c r="D24" t="n">
        <v>0</v>
      </c>
      <c r="E24" t="inlineStr">
        <is>
          <t>kg/d</t>
        </is>
      </c>
      <c r="F24" t="inlineStr">
        <is>
          <t>study</t>
        </is>
      </c>
    </row>
    <row r="25">
      <c r="A25" t="inlineStr">
        <is>
          <t>S89</t>
        </is>
      </c>
      <c r="B25" t="inlineStr">
        <is>
          <t>HDR_CO2</t>
        </is>
      </c>
      <c r="C25" t="inlineStr">
        <is>
          <t>GROW_BED</t>
        </is>
      </c>
      <c r="D25" t="n">
        <v>0.882362</v>
      </c>
      <c r="E25" t="inlineStr">
        <is>
          <t>kg/d</t>
        </is>
      </c>
      <c r="F25" t="inlineStr">
        <is>
          <t>study</t>
        </is>
      </c>
    </row>
  </sheetData>
  <autoFilter ref="A1:H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8" customWidth="1" min="3" max="3"/>
    <col width="10" customWidth="1" min="4" max="4"/>
    <col width="12" customWidth="1" min="5" max="5"/>
    <col width="16" customWidth="1" min="6" max="6"/>
    <col width="9" customWidth="1" min="7" max="7"/>
    <col width="13" customWidth="1" min="8" max="8"/>
  </cols>
  <sheetData>
    <row r="1">
      <c r="A1" s="3" t="inlineStr">
        <is>
          <t>unit_id</t>
        </is>
      </c>
      <c r="B1" s="3" t="inlineStr">
        <is>
          <t>continuous_kw</t>
        </is>
      </c>
      <c r="C1" s="3" t="inlineStr">
        <is>
          <t>kw_unit</t>
        </is>
      </c>
      <c r="D1" s="3" t="inlineStr">
        <is>
          <t>kw_status</t>
        </is>
      </c>
      <c r="E1" s="3" t="inlineStr">
        <is>
          <t>presence</t>
        </is>
      </c>
      <c r="F1" s="3" t="inlineStr">
        <is>
          <t>class</t>
        </is>
      </c>
      <c r="G1" s="3" t="inlineStr">
        <is>
          <t>enabled</t>
        </is>
      </c>
      <c r="H1" s="3" t="inlineStr">
        <is>
          <t>graph_sector</t>
        </is>
      </c>
    </row>
    <row r="2">
      <c r="A2" t="inlineStr">
        <is>
          <t>HABITATION</t>
        </is>
      </c>
      <c r="B2" s="8" t="n">
        <v>1.157</v>
      </c>
      <c r="C2" t="inlineStr">
        <is>
          <t>kW</t>
        </is>
      </c>
      <c r="D2" t="inlineStr">
        <is>
          <t>study</t>
        </is>
      </c>
      <c r="E2" t="inlineStr">
        <is>
          <t>present</t>
        </is>
      </c>
      <c r="F2" t="inlineStr">
        <is>
          <t>hab</t>
        </is>
      </c>
      <c r="G2" t="b">
        <v>1</v>
      </c>
      <c r="H2" t="inlineStr">
        <is>
          <t>HAB</t>
        </is>
      </c>
    </row>
    <row r="3">
      <c r="A3" t="inlineStr">
        <is>
          <t>HDR_CO2</t>
        </is>
      </c>
      <c r="E3" t="inlineStr">
        <is>
          <t>present</t>
        </is>
      </c>
      <c r="F3" t="inlineStr">
        <is>
          <t>header</t>
        </is>
      </c>
      <c r="G3" t="b">
        <v>1</v>
      </c>
      <c r="H3" t="inlineStr">
        <is>
          <t>HAB</t>
        </is>
      </c>
    </row>
    <row r="4">
      <c r="A4" t="inlineStr">
        <is>
          <t>HDR_N2</t>
        </is>
      </c>
      <c r="E4" t="inlineStr">
        <is>
          <t>present</t>
        </is>
      </c>
      <c r="F4" t="inlineStr">
        <is>
          <t>header</t>
        </is>
      </c>
      <c r="G4" t="b">
        <v>1</v>
      </c>
      <c r="H4" t="inlineStr">
        <is>
          <t>HAB</t>
        </is>
      </c>
    </row>
    <row r="6">
      <c r="A6" s="1" t="inlineStr">
        <is>
          <t>SUBTOTAL continuous kW (SUM)</t>
        </is>
      </c>
      <c r="B6" s="10">
        <f>SUM(B2:B4)</f>
        <v/>
      </c>
    </row>
    <row r="8">
      <c r="A8" s="9" t="inlineStr">
        <is>
          <t>EDGES TOUCHING THIS SECTOR (from or to)</t>
        </is>
      </c>
    </row>
    <row r="9">
      <c r="A9" s="3" t="inlineStr">
        <is>
          <t>stream_id</t>
        </is>
      </c>
      <c r="B9" s="3" t="inlineStr">
        <is>
          <t>from_unit</t>
        </is>
      </c>
      <c r="C9" s="3" t="inlineStr">
        <is>
          <t>to_unit</t>
        </is>
      </c>
      <c r="D9" s="3" t="inlineStr">
        <is>
          <t>rate</t>
        </is>
      </c>
      <c r="E9" s="3" t="inlineStr">
        <is>
          <t>unit</t>
        </is>
      </c>
      <c r="F9" s="3" t="inlineStr">
        <is>
          <t>status</t>
        </is>
      </c>
    </row>
    <row r="10">
      <c r="A10" t="inlineStr">
        <is>
          <t>CO2_TO_FARM</t>
        </is>
      </c>
      <c r="B10" t="inlineStr">
        <is>
          <t>HDR_CO2</t>
        </is>
      </c>
      <c r="C10" t="inlineStr">
        <is>
          <t>GROW_BED</t>
        </is>
      </c>
      <c r="D10" t="n">
        <v>0</v>
      </c>
      <c r="E10" t="inlineStr">
        <is>
          <t>kg/d</t>
        </is>
      </c>
      <c r="F10" t="inlineStr">
        <is>
          <t>study</t>
        </is>
      </c>
    </row>
    <row r="11">
      <c r="A11" t="inlineStr">
        <is>
          <t>FARM_O2_TO_HAB</t>
        </is>
      </c>
      <c r="B11" t="inlineStr">
        <is>
          <t>GROW_BED</t>
        </is>
      </c>
      <c r="C11" t="inlineStr">
        <is>
          <t>HABITATION</t>
        </is>
      </c>
      <c r="D11" t="n">
        <v>0</v>
      </c>
      <c r="E11" t="inlineStr">
        <is>
          <t>kg/d</t>
        </is>
      </c>
      <c r="F11" t="inlineStr">
        <is>
          <t>study</t>
        </is>
      </c>
    </row>
    <row r="12">
      <c r="A12" t="inlineStr">
        <is>
          <t>HAB_BLACK</t>
        </is>
      </c>
      <c r="B12" t="inlineStr">
        <is>
          <t>HABITATION</t>
        </is>
      </c>
      <c r="C12" t="inlineStr">
        <is>
          <t>BLACK_DIGEST</t>
        </is>
      </c>
      <c r="F12" t="inlineStr">
        <is>
          <t>null</t>
        </is>
      </c>
    </row>
    <row r="13">
      <c r="A13" t="inlineStr">
        <is>
          <t>HAB_CO2_TO_HDR</t>
        </is>
      </c>
      <c r="B13" t="inlineStr">
        <is>
          <t>HABITATION</t>
        </is>
      </c>
      <c r="C13" t="inlineStr">
        <is>
          <t>HDR_CO2</t>
        </is>
      </c>
      <c r="F13" t="inlineStr">
        <is>
          <t>null</t>
        </is>
      </c>
    </row>
    <row r="14">
      <c r="A14" t="inlineStr">
        <is>
          <t>HAB_GREY</t>
        </is>
      </c>
      <c r="B14" t="inlineStr">
        <is>
          <t>HABITATION</t>
        </is>
      </c>
      <c r="C14" t="inlineStr">
        <is>
          <t>GREY_TREAT</t>
        </is>
      </c>
      <c r="F14" t="inlineStr">
        <is>
          <t>null</t>
        </is>
      </c>
    </row>
    <row r="15">
      <c r="A15" t="inlineStr">
        <is>
          <t>IA-AB-AIR</t>
        </is>
      </c>
      <c r="B15" t="inlineStr">
        <is>
          <t>HDR_N2</t>
        </is>
      </c>
      <c r="C15" t="inlineStr">
        <is>
          <t>AFTERBURNER_FLUE</t>
        </is>
      </c>
      <c r="D15" t="n">
        <v>110.330712</v>
      </c>
      <c r="E15" t="inlineStr">
        <is>
          <t>kg/d</t>
        </is>
      </c>
      <c r="F15" t="inlineStr">
        <is>
          <t>study</t>
        </is>
      </c>
    </row>
    <row r="16">
      <c r="A16" t="inlineStr">
        <is>
          <t>IA-ADS-CHW</t>
        </is>
      </c>
      <c r="B16" t="inlineStr">
        <is>
          <t>ADS_CHILL</t>
        </is>
      </c>
      <c r="C16" t="inlineStr">
        <is>
          <t>HABITATION</t>
        </is>
      </c>
      <c r="D16" t="n">
        <v>2.25</v>
      </c>
      <c r="E16" t="inlineStr">
        <is>
          <t>kW</t>
        </is>
      </c>
      <c r="F16" t="inlineStr">
        <is>
          <t>study</t>
        </is>
      </c>
    </row>
    <row r="17">
      <c r="A17" t="inlineStr">
        <is>
          <t>IA-AHU-AIR</t>
        </is>
      </c>
      <c r="B17" t="inlineStr">
        <is>
          <t>HDR_N2</t>
        </is>
      </c>
      <c r="C17" t="inlineStr">
        <is>
          <t>CRYO_AHU</t>
        </is>
      </c>
      <c r="D17" t="n">
        <v>79.040001</v>
      </c>
      <c r="E17" t="inlineStr">
        <is>
          <t>kg/d</t>
        </is>
      </c>
      <c r="F17" t="inlineStr">
        <is>
          <t>study</t>
        </is>
      </c>
    </row>
    <row r="18">
      <c r="A18" t="inlineStr">
        <is>
          <t>IA-AIR-RX-OUT</t>
        </is>
      </c>
      <c r="B18" t="inlineStr">
        <is>
          <t>AIR_RECEIVER</t>
        </is>
      </c>
      <c r="C18" t="inlineStr">
        <is>
          <t>HDR_N2</t>
        </is>
      </c>
      <c r="D18" t="n">
        <v>191.989014</v>
      </c>
      <c r="E18" t="inlineStr">
        <is>
          <t>kg/d</t>
        </is>
      </c>
      <c r="F18" t="inlineStr">
        <is>
          <t>study</t>
        </is>
      </c>
    </row>
    <row r="19">
      <c r="A19" t="inlineStr">
        <is>
          <t>IA-BLK-01</t>
        </is>
      </c>
      <c r="B19" t="inlineStr">
        <is>
          <t>HABITATION</t>
        </is>
      </c>
      <c r="C19" t="inlineStr">
        <is>
          <t>BLACK_DIGEST</t>
        </is>
      </c>
      <c r="D19" t="n">
        <v>19.644</v>
      </c>
      <c r="E19" t="inlineStr">
        <is>
          <t>kg/d</t>
        </is>
      </c>
      <c r="F19" t="inlineStr">
        <is>
          <t>study</t>
        </is>
      </c>
    </row>
    <row r="20">
      <c r="A20" t="inlineStr">
        <is>
          <t>IA-EW4-N2</t>
        </is>
      </c>
      <c r="B20" t="inlineStr">
        <is>
          <t>EW_4</t>
        </is>
      </c>
      <c r="C20" t="inlineStr">
        <is>
          <t>HDR_N2</t>
        </is>
      </c>
      <c r="D20" t="n">
        <v>0.396575</v>
      </c>
      <c r="E20" t="inlineStr">
        <is>
          <t>kg/d</t>
        </is>
      </c>
      <c r="F20" t="inlineStr">
        <is>
          <t>study</t>
        </is>
      </c>
    </row>
    <row r="21">
      <c r="A21" t="inlineStr">
        <is>
          <t>IA-FEC-01</t>
        </is>
      </c>
      <c r="B21" t="inlineStr">
        <is>
          <t>HABITATION</t>
        </is>
      </c>
      <c r="C21" t="inlineStr">
        <is>
          <t>BLACK_DIGEST</t>
        </is>
      </c>
      <c r="D21" t="n">
        <v>0.13</v>
      </c>
      <c r="E21" t="inlineStr">
        <is>
          <t>kg/d</t>
        </is>
      </c>
      <c r="F21" t="inlineStr">
        <is>
          <t>study</t>
        </is>
      </c>
    </row>
    <row r="22">
      <c r="A22" t="inlineStr">
        <is>
          <t>IA-GAL</t>
        </is>
      </c>
      <c r="B22" t="inlineStr">
        <is>
          <t>HABITATION</t>
        </is>
      </c>
      <c r="C22" t="inlineStr">
        <is>
          <t>BLACK_DIGEST</t>
        </is>
      </c>
      <c r="D22" t="n">
        <v>1.18</v>
      </c>
      <c r="E22" t="inlineStr">
        <is>
          <t>kg/d</t>
        </is>
      </c>
      <c r="F22" t="inlineStr">
        <is>
          <t>study</t>
        </is>
      </c>
    </row>
    <row r="23">
      <c r="A23" t="inlineStr">
        <is>
          <t>IA-GEN-AIR</t>
        </is>
      </c>
      <c r="B23" t="inlineStr">
        <is>
          <t>HDR_N2</t>
        </is>
      </c>
      <c r="C23" t="inlineStr">
        <is>
          <t>BACKUP_GEN</t>
        </is>
      </c>
      <c r="D23" t="n">
        <v>0.006137</v>
      </c>
      <c r="E23" t="inlineStr">
        <is>
          <t>kg/d</t>
        </is>
      </c>
      <c r="F23" t="inlineStr">
        <is>
          <t>study</t>
        </is>
      </c>
    </row>
    <row r="24">
      <c r="A24" t="inlineStr">
        <is>
          <t>IA-HAB-VAP</t>
        </is>
      </c>
      <c r="B24" t="inlineStr">
        <is>
          <t>HABITATION</t>
        </is>
      </c>
      <c r="C24" t="inlineStr">
        <is>
          <t>CRYO_AHU</t>
        </is>
      </c>
      <c r="D24" t="n">
        <v>0</v>
      </c>
      <c r="E24" t="inlineStr">
        <is>
          <t>kg/d</t>
        </is>
      </c>
      <c r="F24" t="inlineStr">
        <is>
          <t>study</t>
        </is>
      </c>
    </row>
    <row r="25">
      <c r="A25" t="inlineStr">
        <is>
          <t>IA-HCO2-MEOH</t>
        </is>
      </c>
      <c r="B25" t="inlineStr">
        <is>
          <t>HDR_CO2</t>
        </is>
      </c>
      <c r="C25" t="inlineStr">
        <is>
          <t>MEOH_SYNTH</t>
        </is>
      </c>
      <c r="D25" t="n">
        <v>3.138638</v>
      </c>
      <c r="E25" t="inlineStr">
        <is>
          <t>kg/d</t>
        </is>
      </c>
      <c r="F25" t="inlineStr">
        <is>
          <t>study</t>
        </is>
      </c>
    </row>
    <row r="26">
      <c r="A26" t="inlineStr">
        <is>
          <t>IA-MAU-AIR</t>
        </is>
      </c>
      <c r="B26" t="inlineStr">
        <is>
          <t>MAU_HX</t>
        </is>
      </c>
      <c r="C26" t="inlineStr">
        <is>
          <t>HABITATION</t>
        </is>
      </c>
      <c r="D26" t="n">
        <v>12</v>
      </c>
      <c r="E26" t="inlineStr">
        <is>
          <t>kW</t>
        </is>
      </c>
      <c r="F26" t="inlineStr">
        <is>
          <t>study</t>
        </is>
      </c>
    </row>
    <row r="27">
      <c r="A27" t="inlineStr">
        <is>
          <t>IA-MFG-OUT</t>
        </is>
      </c>
      <c r="B27" t="inlineStr">
        <is>
          <t>MFG_SHOP</t>
        </is>
      </c>
      <c r="C27" t="inlineStr">
        <is>
          <t>HABITATION</t>
        </is>
      </c>
      <c r="D27" t="n">
        <v>596.862802</v>
      </c>
      <c r="E27" t="inlineStr">
        <is>
          <t>kg/d</t>
        </is>
      </c>
      <c r="F27" t="inlineStr">
        <is>
          <t>study</t>
        </is>
      </c>
    </row>
    <row r="28">
      <c r="A28" t="inlineStr">
        <is>
          <t>IA-N2-RET</t>
        </is>
      </c>
      <c r="B28" t="inlineStr">
        <is>
          <t>HDR_N2</t>
        </is>
      </c>
      <c r="C28" t="inlineStr">
        <is>
          <t>CRYO_ASU</t>
        </is>
      </c>
      <c r="D28" t="n">
        <v>0</v>
      </c>
      <c r="E28" t="inlineStr">
        <is>
          <t>kg/d</t>
        </is>
      </c>
      <c r="F28" t="inlineStr">
        <is>
          <t>study</t>
        </is>
      </c>
    </row>
    <row r="29">
      <c r="A29" t="inlineStr">
        <is>
          <t>IA-NH3-SRC</t>
        </is>
      </c>
      <c r="B29" t="inlineStr">
        <is>
          <t>HDR_N2</t>
        </is>
      </c>
      <c r="C29" t="inlineStr">
        <is>
          <t>WS_AMMONIA</t>
        </is>
      </c>
      <c r="D29" t="n">
        <v>3.008739</v>
      </c>
      <c r="E29" t="inlineStr">
        <is>
          <t>kg/d</t>
        </is>
      </c>
      <c r="F29" t="inlineStr">
        <is>
          <t>study</t>
        </is>
      </c>
    </row>
    <row r="30">
      <c r="A30" t="inlineStr">
        <is>
          <t>IA-NOX-HAB</t>
        </is>
      </c>
      <c r="B30" t="inlineStr">
        <is>
          <t>ROOF_TANK</t>
        </is>
      </c>
      <c r="C30" t="inlineStr">
        <is>
          <t>HABITATION</t>
        </is>
      </c>
      <c r="D30" t="n">
        <v>207.279999</v>
      </c>
      <c r="E30" t="inlineStr">
        <is>
          <t>kg/d</t>
        </is>
      </c>
      <c r="F30" t="inlineStr">
        <is>
          <t>study</t>
        </is>
      </c>
    </row>
    <row r="31">
      <c r="A31" t="inlineStr">
        <is>
          <t>IA-Q4-LIFE</t>
        </is>
      </c>
      <c r="B31" t="inlineStr">
        <is>
          <t>Q4_BUS</t>
        </is>
      </c>
      <c r="C31" t="inlineStr">
        <is>
          <t>HABITATION</t>
        </is>
      </c>
      <c r="D31" t="n">
        <v>3</v>
      </c>
      <c r="E31" t="inlineStr">
        <is>
          <t>kW</t>
        </is>
      </c>
      <c r="F31" t="inlineStr">
        <is>
          <t>study</t>
        </is>
      </c>
    </row>
    <row r="32">
      <c r="A32" t="inlineStr">
        <is>
          <t>IA-UPW-HAB</t>
        </is>
      </c>
      <c r="B32" t="inlineStr">
        <is>
          <t>HDR_UPW</t>
        </is>
      </c>
      <c r="C32" t="inlineStr">
        <is>
          <t>HABITATION</t>
        </is>
      </c>
      <c r="D32" t="n">
        <v>0.800001</v>
      </c>
      <c r="E32" t="inlineStr">
        <is>
          <t>kg/d</t>
        </is>
      </c>
      <c r="F32" t="inlineStr">
        <is>
          <t>study</t>
        </is>
      </c>
    </row>
    <row r="33">
      <c r="A33" t="inlineStr">
        <is>
          <t>IA-URINE</t>
        </is>
      </c>
      <c r="B33" t="inlineStr">
        <is>
          <t>HABITATION</t>
        </is>
      </c>
      <c r="C33" t="inlineStr">
        <is>
          <t>BLACK_DIGEST</t>
        </is>
      </c>
      <c r="D33" t="n">
        <v>1.42</v>
      </c>
      <c r="E33" t="inlineStr">
        <is>
          <t>kg/d</t>
        </is>
      </c>
      <c r="F33" t="inlineStr">
        <is>
          <t>study</t>
        </is>
      </c>
    </row>
    <row r="34">
      <c r="A34" t="inlineStr">
        <is>
          <t>IA-WEAR</t>
        </is>
      </c>
      <c r="B34" t="inlineStr">
        <is>
          <t>HABITATION</t>
        </is>
      </c>
      <c r="C34" t="inlineStr">
        <is>
          <t>HOPPER</t>
        </is>
      </c>
      <c r="D34" t="n">
        <v>596.863842</v>
      </c>
      <c r="E34" t="inlineStr">
        <is>
          <t>kg/d</t>
        </is>
      </c>
      <c r="F34" t="inlineStr">
        <is>
          <t>study</t>
        </is>
      </c>
    </row>
    <row r="35">
      <c r="A35" t="inlineStr">
        <is>
          <t>S02</t>
        </is>
      </c>
      <c r="B35" t="inlineStr">
        <is>
          <t>CRYO_O2</t>
        </is>
      </c>
      <c r="C35" t="inlineStr">
        <is>
          <t>HABITATION</t>
        </is>
      </c>
      <c r="D35" t="n">
        <v>3.4</v>
      </c>
      <c r="E35" t="inlineStr">
        <is>
          <t>kg/d</t>
        </is>
      </c>
      <c r="F35" t="inlineStr">
        <is>
          <t>study</t>
        </is>
      </c>
    </row>
    <row r="36">
      <c r="A36" t="inlineStr">
        <is>
          <t>S12</t>
        </is>
      </c>
      <c r="B36" t="inlineStr">
        <is>
          <t>HABITATION</t>
        </is>
      </c>
      <c r="C36" t="inlineStr">
        <is>
          <t>GREY_TREAT</t>
        </is>
      </c>
      <c r="D36" t="n">
        <v>319.60396</v>
      </c>
      <c r="E36" t="inlineStr">
        <is>
          <t>kg/d</t>
        </is>
      </c>
      <c r="F36" t="inlineStr">
        <is>
          <t>study</t>
        </is>
      </c>
    </row>
    <row r="37">
      <c r="A37" t="inlineStr">
        <is>
          <t>S14D</t>
        </is>
      </c>
      <c r="B37" t="inlineStr">
        <is>
          <t>FOOD_STORE</t>
        </is>
      </c>
      <c r="C37" t="inlineStr">
        <is>
          <t>HABITATION</t>
        </is>
      </c>
      <c r="D37" t="n">
        <v>4.2</v>
      </c>
      <c r="E37" t="inlineStr">
        <is>
          <t>kg/d</t>
        </is>
      </c>
      <c r="F37" t="inlineStr">
        <is>
          <t>study</t>
        </is>
      </c>
    </row>
    <row r="38">
      <c r="A38" t="inlineStr">
        <is>
          <t>S15</t>
        </is>
      </c>
      <c r="B38" t="inlineStr">
        <is>
          <t>GROW_BED</t>
        </is>
      </c>
      <c r="C38" t="inlineStr">
        <is>
          <t>HABITATION</t>
        </is>
      </c>
      <c r="D38" t="n">
        <v>0</v>
      </c>
      <c r="E38" t="inlineStr">
        <is>
          <t>kg/d</t>
        </is>
      </c>
      <c r="F38" t="inlineStr">
        <is>
          <t>study</t>
        </is>
      </c>
    </row>
    <row r="39">
      <c r="A39" t="inlineStr">
        <is>
          <t>S21</t>
        </is>
      </c>
      <c r="B39" t="inlineStr">
        <is>
          <t>ROOF_TANK</t>
        </is>
      </c>
      <c r="C39" t="inlineStr">
        <is>
          <t>HABITATION</t>
        </is>
      </c>
      <c r="D39" t="n">
        <v>120.68</v>
      </c>
      <c r="E39" t="inlineStr">
        <is>
          <t>kg/d</t>
        </is>
      </c>
      <c r="F39" t="inlineStr">
        <is>
          <t>study</t>
        </is>
      </c>
    </row>
    <row r="40">
      <c r="A40" t="inlineStr">
        <is>
          <t>S26</t>
        </is>
      </c>
      <c r="B40" t="inlineStr">
        <is>
          <t>REMIN</t>
        </is>
      </c>
      <c r="C40" t="inlineStr">
        <is>
          <t>HABITATION</t>
        </is>
      </c>
      <c r="D40" t="n">
        <v>10</v>
      </c>
      <c r="E40" t="inlineStr">
        <is>
          <t>kg/d</t>
        </is>
      </c>
      <c r="F40" t="inlineStr">
        <is>
          <t>study</t>
        </is>
      </c>
    </row>
    <row r="41">
      <c r="A41" t="inlineStr">
        <is>
          <t>S78</t>
        </is>
      </c>
      <c r="B41" t="inlineStr">
        <is>
          <t>HABITATION</t>
        </is>
      </c>
      <c r="C41" t="inlineStr">
        <is>
          <t>MEOH_FERM</t>
        </is>
      </c>
      <c r="D41" t="n">
        <v>0.36</v>
      </c>
      <c r="E41" t="inlineStr">
        <is>
          <t>kg/d</t>
        </is>
      </c>
      <c r="F41" t="inlineStr">
        <is>
          <t>study</t>
        </is>
      </c>
    </row>
    <row r="42">
      <c r="A42" t="inlineStr">
        <is>
          <t>S85</t>
        </is>
      </c>
      <c r="B42" t="inlineStr">
        <is>
          <t>CRYO_CO2</t>
        </is>
      </c>
      <c r="C42" t="inlineStr">
        <is>
          <t>HDR_CO2</t>
        </is>
      </c>
      <c r="D42" t="n">
        <v>0</v>
      </c>
      <c r="E42" t="inlineStr">
        <is>
          <t>kg/d</t>
        </is>
      </c>
      <c r="F42" t="inlineStr">
        <is>
          <t>study</t>
        </is>
      </c>
    </row>
    <row r="43">
      <c r="A43" t="inlineStr">
        <is>
          <t>S89</t>
        </is>
      </c>
      <c r="B43" t="inlineStr">
        <is>
          <t>HDR_CO2</t>
        </is>
      </c>
      <c r="C43" t="inlineStr">
        <is>
          <t>GROW_BED</t>
        </is>
      </c>
      <c r="D43" t="n">
        <v>0.882362</v>
      </c>
      <c r="E43" t="inlineStr">
        <is>
          <t>kg/d</t>
        </is>
      </c>
      <c r="F43" t="inlineStr">
        <is>
          <t>study</t>
        </is>
      </c>
    </row>
    <row r="44">
      <c r="A44" t="inlineStr">
        <is>
          <t>S90</t>
        </is>
      </c>
      <c r="B44" t="inlineStr">
        <is>
          <t>HABITATION</t>
        </is>
      </c>
      <c r="C44" t="inlineStr">
        <is>
          <t>HDR_CO2</t>
        </is>
      </c>
      <c r="D44" t="n">
        <v>4.021</v>
      </c>
      <c r="E44" t="inlineStr">
        <is>
          <t>kg/d</t>
        </is>
      </c>
      <c r="F44" t="inlineStr">
        <is>
          <t>study</t>
        </is>
      </c>
    </row>
  </sheetData>
  <autoFilter ref="A1:H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8" customWidth="1" min="3" max="3"/>
    <col width="10" customWidth="1" min="4" max="4"/>
    <col width="12" customWidth="1" min="5" max="5"/>
    <col width="16" customWidth="1" min="6" max="6"/>
    <col width="9" customWidth="1" min="7" max="7"/>
    <col width="13" customWidth="1" min="8" max="8"/>
  </cols>
  <sheetData>
    <row r="1">
      <c r="A1" s="3" t="inlineStr">
        <is>
          <t>unit_id</t>
        </is>
      </c>
      <c r="B1" s="3" t="inlineStr">
        <is>
          <t>continuous_kw</t>
        </is>
      </c>
      <c r="C1" s="3" t="inlineStr">
        <is>
          <t>kw_unit</t>
        </is>
      </c>
      <c r="D1" s="3" t="inlineStr">
        <is>
          <t>kw_status</t>
        </is>
      </c>
      <c r="E1" s="3" t="inlineStr">
        <is>
          <t>presence</t>
        </is>
      </c>
      <c r="F1" s="3" t="inlineStr">
        <is>
          <t>class</t>
        </is>
      </c>
      <c r="G1" s="3" t="inlineStr">
        <is>
          <t>enabled</t>
        </is>
      </c>
      <c r="H1" s="3" t="inlineStr">
        <is>
          <t>graph_sector</t>
        </is>
      </c>
    </row>
    <row r="2">
      <c r="A2" t="inlineStr">
        <is>
          <t>AIR_RECEIVER</t>
        </is>
      </c>
      <c r="E2" t="inlineStr">
        <is>
          <t>present</t>
        </is>
      </c>
      <c r="F2" t="inlineStr">
        <is>
          <t>store</t>
        </is>
      </c>
      <c r="G2" t="b">
        <v>1</v>
      </c>
      <c r="H2" t="inlineStr">
        <is>
          <t>CRYO</t>
        </is>
      </c>
    </row>
    <row r="3">
      <c r="A3" t="inlineStr">
        <is>
          <t>CRYO_AHU</t>
        </is>
      </c>
      <c r="B3" s="8" t="n">
        <v>0.6472</v>
      </c>
      <c r="C3" t="inlineStr">
        <is>
          <t>kW</t>
        </is>
      </c>
      <c r="D3" t="inlineStr">
        <is>
          <t>study</t>
        </is>
      </c>
      <c r="E3" t="inlineStr">
        <is>
          <t>present</t>
        </is>
      </c>
      <c r="F3" t="inlineStr">
        <is>
          <t>ahu</t>
        </is>
      </c>
      <c r="G3" t="b">
        <v>1</v>
      </c>
      <c r="H3" t="inlineStr">
        <is>
          <t>CRYO</t>
        </is>
      </c>
    </row>
    <row r="4">
      <c r="A4" t="inlineStr">
        <is>
          <t>CRYO_AHU_COND_CONDENSABLE</t>
        </is>
      </c>
      <c r="E4" t="inlineStr">
        <is>
          <t>present</t>
        </is>
      </c>
      <c r="G4" t="b">
        <v>1</v>
      </c>
      <c r="H4" t="inlineStr">
        <is>
          <t>CRYO</t>
        </is>
      </c>
    </row>
    <row r="5">
      <c r="A5" t="inlineStr">
        <is>
          <t>CRYO_ASU</t>
        </is>
      </c>
      <c r="B5" s="8" t="n">
        <v>1.6689</v>
      </c>
      <c r="C5" t="inlineStr">
        <is>
          <t>kW</t>
        </is>
      </c>
      <c r="D5" t="inlineStr">
        <is>
          <t>study</t>
        </is>
      </c>
      <c r="E5" t="inlineStr">
        <is>
          <t>present</t>
        </is>
      </c>
      <c r="F5" t="inlineStr">
        <is>
          <t>cold_box</t>
        </is>
      </c>
      <c r="G5" t="b">
        <v>1</v>
      </c>
      <c r="H5" t="inlineStr">
        <is>
          <t>CRYO</t>
        </is>
      </c>
    </row>
    <row r="6">
      <c r="A6" t="inlineStr">
        <is>
          <t>CRYO_CO2</t>
        </is>
      </c>
      <c r="E6" t="inlineStr">
        <is>
          <t>present</t>
        </is>
      </c>
      <c r="F6" t="inlineStr">
        <is>
          <t>cold_box</t>
        </is>
      </c>
      <c r="G6" t="b">
        <v>1</v>
      </c>
      <c r="H6" t="inlineStr">
        <is>
          <t>CRYO</t>
        </is>
      </c>
    </row>
    <row r="7">
      <c r="A7" t="inlineStr">
        <is>
          <t>CRYO_DED_COOL</t>
        </is>
      </c>
      <c r="E7" t="inlineStr">
        <is>
          <t>present</t>
        </is>
      </c>
      <c r="F7" t="inlineStr">
        <is>
          <t>cool</t>
        </is>
      </c>
      <c r="G7" t="b">
        <v>1</v>
      </c>
      <c r="H7" t="inlineStr">
        <is>
          <t>CRYO</t>
        </is>
      </c>
    </row>
    <row r="8">
      <c r="A8" t="inlineStr">
        <is>
          <t>CRYO_H2</t>
        </is>
      </c>
      <c r="B8" s="8" t="n">
        <v>0.9327</v>
      </c>
      <c r="C8" t="inlineStr">
        <is>
          <t>kW</t>
        </is>
      </c>
      <c r="D8" t="inlineStr">
        <is>
          <t>study</t>
        </is>
      </c>
      <c r="E8" t="inlineStr">
        <is>
          <t>present</t>
        </is>
      </c>
      <c r="F8" t="inlineStr">
        <is>
          <t>cold_box</t>
        </is>
      </c>
      <c r="G8" t="b">
        <v>1</v>
      </c>
      <c r="H8" t="inlineStr">
        <is>
          <t>CRYO</t>
        </is>
      </c>
    </row>
    <row r="9">
      <c r="A9" t="inlineStr">
        <is>
          <t>CRYO_HX_Q4</t>
        </is>
      </c>
      <c r="E9" t="inlineStr">
        <is>
          <t>present</t>
        </is>
      </c>
      <c r="F9" t="inlineStr">
        <is>
          <t>hx</t>
        </is>
      </c>
      <c r="G9" t="b">
        <v>1</v>
      </c>
      <c r="H9" t="inlineStr">
        <is>
          <t>CRYO</t>
        </is>
      </c>
    </row>
    <row r="10">
      <c r="A10" t="inlineStr">
        <is>
          <t>CRYO_N2</t>
        </is>
      </c>
      <c r="E10" t="inlineStr">
        <is>
          <t>present</t>
        </is>
      </c>
      <c r="F10" t="inlineStr">
        <is>
          <t>cold_box</t>
        </is>
      </c>
      <c r="G10" t="b">
        <v>1</v>
      </c>
      <c r="H10" t="inlineStr">
        <is>
          <t>CRYO</t>
        </is>
      </c>
    </row>
    <row r="11">
      <c r="A11" t="inlineStr">
        <is>
          <t>CRYO_O2</t>
        </is>
      </c>
      <c r="E11" t="inlineStr">
        <is>
          <t>present</t>
        </is>
      </c>
      <c r="F11" t="inlineStr">
        <is>
          <t>cold_box</t>
        </is>
      </c>
      <c r="G11" t="b">
        <v>1</v>
      </c>
      <c r="H11" t="inlineStr">
        <is>
          <t>CRYO</t>
        </is>
      </c>
    </row>
    <row r="12">
      <c r="A12" t="inlineStr">
        <is>
          <t>H2O_ELYZ</t>
        </is>
      </c>
      <c r="B12" s="8" t="n">
        <v>21.4517</v>
      </c>
      <c r="C12" t="inlineStr">
        <is>
          <t>kW</t>
        </is>
      </c>
      <c r="D12" t="inlineStr">
        <is>
          <t>study</t>
        </is>
      </c>
      <c r="E12" t="inlineStr">
        <is>
          <t>present</t>
        </is>
      </c>
      <c r="F12" t="inlineStr">
        <is>
          <t>pem_electrolyser</t>
        </is>
      </c>
      <c r="G12" t="b">
        <v>1</v>
      </c>
      <c r="H12" t="inlineStr">
        <is>
          <t>CRYO</t>
        </is>
      </c>
    </row>
    <row r="13">
      <c r="A13" t="inlineStr">
        <is>
          <t>PROD_MEOH</t>
        </is>
      </c>
      <c r="E13" t="inlineStr">
        <is>
          <t>present</t>
        </is>
      </c>
      <c r="F13" t="inlineStr">
        <is>
          <t>product</t>
        </is>
      </c>
      <c r="G13" t="b">
        <v>1</v>
      </c>
      <c r="H13" t="inlineStr">
        <is>
          <t>CRYO</t>
        </is>
      </c>
    </row>
    <row r="14">
      <c r="A14" t="inlineStr">
        <is>
          <t>PROD_O2</t>
        </is>
      </c>
      <c r="E14" t="inlineStr">
        <is>
          <t>present</t>
        </is>
      </c>
      <c r="F14" t="inlineStr">
        <is>
          <t>product</t>
        </is>
      </c>
      <c r="G14" t="b">
        <v>1</v>
      </c>
      <c r="H14" t="inlineStr">
        <is>
          <t>CRYO</t>
        </is>
      </c>
    </row>
    <row r="15">
      <c r="A15" t="inlineStr">
        <is>
          <t>RELIEF_CRYO</t>
        </is>
      </c>
      <c r="E15" t="inlineStr">
        <is>
          <t>present</t>
        </is>
      </c>
      <c r="F15" t="inlineStr">
        <is>
          <t>relief</t>
        </is>
      </c>
      <c r="G15" t="b">
        <v>1</v>
      </c>
      <c r="H15" t="inlineStr">
        <is>
          <t>CRYO</t>
        </is>
      </c>
    </row>
    <row r="17">
      <c r="A17" s="1" t="inlineStr">
        <is>
          <t>SUBTOTAL continuous kW (SUM)</t>
        </is>
      </c>
      <c r="B17" s="10">
        <f>SUM(B2:B15)</f>
        <v/>
      </c>
    </row>
    <row r="19">
      <c r="A19" s="9" t="inlineStr">
        <is>
          <t>EDGES TOUCHING THIS SECTOR (from or to)</t>
        </is>
      </c>
    </row>
    <row r="20">
      <c r="A20" s="3" t="inlineStr">
        <is>
          <t>stream_id</t>
        </is>
      </c>
      <c r="B20" s="3" t="inlineStr">
        <is>
          <t>from_unit</t>
        </is>
      </c>
      <c r="C20" s="3" t="inlineStr">
        <is>
          <t>to_unit</t>
        </is>
      </c>
      <c r="D20" s="3" t="inlineStr">
        <is>
          <t>rate</t>
        </is>
      </c>
      <c r="E20" s="3" t="inlineStr">
        <is>
          <t>unit</t>
        </is>
      </c>
      <c r="F20" s="3" t="inlineStr">
        <is>
          <t>status</t>
        </is>
      </c>
    </row>
    <row r="21">
      <c r="A21" t="inlineStr">
        <is>
          <t>IA-AHU-AIR</t>
        </is>
      </c>
      <c r="B21" t="inlineStr">
        <is>
          <t>HDR_N2</t>
        </is>
      </c>
      <c r="C21" t="inlineStr">
        <is>
          <t>CRYO_AHU</t>
        </is>
      </c>
      <c r="D21" t="n">
        <v>79.040001</v>
      </c>
      <c r="E21" t="inlineStr">
        <is>
          <t>kg/d</t>
        </is>
      </c>
      <c r="F21" t="inlineStr">
        <is>
          <t>study</t>
        </is>
      </c>
    </row>
    <row r="22">
      <c r="A22" t="inlineStr">
        <is>
          <t>IA-AHU-FIX</t>
        </is>
      </c>
      <c r="B22" t="inlineStr">
        <is>
          <t>CRYO_N2</t>
        </is>
      </c>
      <c r="C22" t="inlineStr">
        <is>
          <t>CRYO_AHU</t>
        </is>
      </c>
      <c r="D22" t="n">
        <v>1e-06</v>
      </c>
      <c r="E22" t="inlineStr">
        <is>
          <t>kg/d</t>
        </is>
      </c>
      <c r="F22" t="inlineStr">
        <is>
          <t>study</t>
        </is>
      </c>
    </row>
    <row r="23">
      <c r="A23" t="inlineStr">
        <is>
          <t>IA-AHU-POT</t>
        </is>
      </c>
      <c r="B23" t="inlineStr">
        <is>
          <t>CRYO_AHU</t>
        </is>
      </c>
      <c r="C23" t="inlineStr">
        <is>
          <t>CRYO_AHU_COND_CONDENSABLE</t>
        </is>
      </c>
      <c r="D23" t="n">
        <v>0.052101</v>
      </c>
      <c r="E23" t="inlineStr">
        <is>
          <t>kg/d</t>
        </is>
      </c>
      <c r="F23" t="inlineStr">
        <is>
          <t>study</t>
        </is>
      </c>
    </row>
    <row r="24">
      <c r="A24" t="inlineStr">
        <is>
          <t>IA-AIR-IN</t>
        </is>
      </c>
      <c r="B24" t="inlineStr">
        <is>
          <t>NORTH_DOCK</t>
        </is>
      </c>
      <c r="C24" t="inlineStr">
        <is>
          <t>CRYO_ASU</t>
        </is>
      </c>
      <c r="D24" t="n">
        <v>0</v>
      </c>
      <c r="E24" t="inlineStr">
        <is>
          <t>kg/d</t>
        </is>
      </c>
      <c r="F24" t="inlineStr">
        <is>
          <t>study</t>
        </is>
      </c>
    </row>
    <row r="25">
      <c r="A25" t="inlineStr">
        <is>
          <t>IA-AIR-RX-OUT</t>
        </is>
      </c>
      <c r="B25" t="inlineStr">
        <is>
          <t>AIR_RECEIVER</t>
        </is>
      </c>
      <c r="C25" t="inlineStr">
        <is>
          <t>HDR_N2</t>
        </is>
      </c>
      <c r="D25" t="n">
        <v>191.989014</v>
      </c>
      <c r="E25" t="inlineStr">
        <is>
          <t>kg/d</t>
        </is>
      </c>
      <c r="F25" t="inlineStr">
        <is>
          <t>study</t>
        </is>
      </c>
    </row>
    <row r="26">
      <c r="A26" t="inlineStr">
        <is>
          <t>IA-ASU-CO2</t>
        </is>
      </c>
      <c r="B26" t="inlineStr">
        <is>
          <t>CRYO_ASU</t>
        </is>
      </c>
      <c r="C26" t="inlineStr">
        <is>
          <t>CRYO_CO2</t>
        </is>
      </c>
      <c r="D26" t="n">
        <v>21.747426</v>
      </c>
      <c r="E26" t="inlineStr">
        <is>
          <t>kg/d</t>
        </is>
      </c>
      <c r="F26" t="inlineStr">
        <is>
          <t>study</t>
        </is>
      </c>
    </row>
    <row r="27">
      <c r="A27" t="inlineStr">
        <is>
          <t>IA-ASU-N2</t>
        </is>
      </c>
      <c r="B27" t="inlineStr">
        <is>
          <t>CRYO_ASU</t>
        </is>
      </c>
      <c r="C27" t="inlineStr">
        <is>
          <t>CRYO_N2</t>
        </is>
      </c>
      <c r="D27" t="n">
        <v>196.588593</v>
      </c>
      <c r="E27" t="inlineStr">
        <is>
          <t>kg/d</t>
        </is>
      </c>
      <c r="F27" t="inlineStr">
        <is>
          <t>study</t>
        </is>
      </c>
    </row>
    <row r="28">
      <c r="A28" t="inlineStr">
        <is>
          <t>IA-ASU-O2</t>
        </is>
      </c>
      <c r="B28" t="inlineStr">
        <is>
          <t>CRYO_ASU</t>
        </is>
      </c>
      <c r="C28" t="inlineStr">
        <is>
          <t>CRYO_O2</t>
        </is>
      </c>
      <c r="D28" t="n">
        <v>0.066929</v>
      </c>
      <c r="E28" t="inlineStr">
        <is>
          <t>kg/d</t>
        </is>
      </c>
      <c r="F28" t="inlineStr">
        <is>
          <t>study</t>
        </is>
      </c>
    </row>
    <row r="29">
      <c r="A29" t="inlineStr">
        <is>
          <t>IA-BED-VAP</t>
        </is>
      </c>
      <c r="B29" t="inlineStr">
        <is>
          <t>GROW_BED</t>
        </is>
      </c>
      <c r="C29" t="inlineStr">
        <is>
          <t>CRYO_AHU</t>
        </is>
      </c>
      <c r="D29" t="n">
        <v>67.443215</v>
      </c>
      <c r="E29" t="inlineStr">
        <is>
          <t>kg/d</t>
        </is>
      </c>
      <c r="F29" t="inlineStr">
        <is>
          <t>study</t>
        </is>
      </c>
    </row>
    <row r="30">
      <c r="A30" t="inlineStr">
        <is>
          <t>IA-CO2-RET</t>
        </is>
      </c>
      <c r="B30" t="inlineStr">
        <is>
          <t>CRYO_CO2</t>
        </is>
      </c>
      <c r="C30" t="inlineStr">
        <is>
          <t>CRYO_ASU</t>
        </is>
      </c>
      <c r="D30" t="n">
        <v>0</v>
      </c>
      <c r="E30" t="inlineStr">
        <is>
          <t>kg/d</t>
        </is>
      </c>
      <c r="F30" t="inlineStr">
        <is>
          <t>study</t>
        </is>
      </c>
    </row>
    <row r="31">
      <c r="A31" t="inlineStr">
        <is>
          <t>IA-ELY-H2</t>
        </is>
      </c>
      <c r="B31" t="inlineStr">
        <is>
          <t>H2O_ELYZ</t>
        </is>
      </c>
      <c r="C31" t="inlineStr">
        <is>
          <t>CRYO_H2</t>
        </is>
      </c>
      <c r="D31" t="n">
        <v>9.360747</v>
      </c>
      <c r="E31" t="inlineStr">
        <is>
          <t>kg/d</t>
        </is>
      </c>
      <c r="F31" t="inlineStr">
        <is>
          <t>study</t>
        </is>
      </c>
    </row>
    <row r="32">
      <c r="A32" t="inlineStr">
        <is>
          <t>IA-ELY-H2O</t>
        </is>
      </c>
      <c r="B32" t="inlineStr">
        <is>
          <t>ROOF_TANK</t>
        </is>
      </c>
      <c r="C32" t="inlineStr">
        <is>
          <t>H2O_ELYZ</t>
        </is>
      </c>
      <c r="D32" t="n">
        <v>83.647747</v>
      </c>
      <c r="E32" t="inlineStr">
        <is>
          <t>kg/d</t>
        </is>
      </c>
      <c r="F32" t="inlineStr">
        <is>
          <t>study</t>
        </is>
      </c>
    </row>
    <row r="33">
      <c r="A33" t="inlineStr">
        <is>
          <t>IA-ELY-O2</t>
        </is>
      </c>
      <c r="B33" t="inlineStr">
        <is>
          <t>H2O_ELYZ</t>
        </is>
      </c>
      <c r="C33" t="inlineStr">
        <is>
          <t>CRYO_O2</t>
        </is>
      </c>
      <c r="D33" t="n">
        <v>74.28700000000001</v>
      </c>
      <c r="E33" t="inlineStr">
        <is>
          <t>kg/d</t>
        </is>
      </c>
      <c r="F33" t="inlineStr">
        <is>
          <t>study</t>
        </is>
      </c>
    </row>
    <row r="34">
      <c r="A34" t="inlineStr">
        <is>
          <t>IA-EW3-H2B</t>
        </is>
      </c>
      <c r="B34" t="inlineStr">
        <is>
          <t>EW_3</t>
        </is>
      </c>
      <c r="C34" t="inlineStr">
        <is>
          <t>HDR_H2</t>
        </is>
      </c>
      <c r="D34" t="n">
        <v>0.143667</v>
      </c>
      <c r="E34" t="inlineStr">
        <is>
          <t>kg/d</t>
        </is>
      </c>
      <c r="F34" t="inlineStr">
        <is>
          <t>study</t>
        </is>
      </c>
    </row>
    <row r="35">
      <c r="A35" t="inlineStr">
        <is>
          <t>IA-EW5-H2B</t>
        </is>
      </c>
      <c r="B35" t="inlineStr">
        <is>
          <t>EW_5</t>
        </is>
      </c>
      <c r="C35" t="inlineStr">
        <is>
          <t>HDR_H2</t>
        </is>
      </c>
      <c r="D35" t="n">
        <v>0.032086</v>
      </c>
      <c r="E35" t="inlineStr">
        <is>
          <t>kg/d</t>
        </is>
      </c>
      <c r="F35" t="inlineStr">
        <is>
          <t>study</t>
        </is>
      </c>
    </row>
    <row r="36">
      <c r="A36" t="inlineStr">
        <is>
          <t>IA-EW6-H2B</t>
        </is>
      </c>
      <c r="B36" t="inlineStr">
        <is>
          <t>EW_6</t>
        </is>
      </c>
      <c r="C36" t="inlineStr">
        <is>
          <t>HDR_H2</t>
        </is>
      </c>
      <c r="D36" t="n">
        <v>0.03496</v>
      </c>
      <c r="E36" t="inlineStr">
        <is>
          <t>kg/d</t>
        </is>
      </c>
      <c r="F36" t="inlineStr">
        <is>
          <t>study</t>
        </is>
      </c>
    </row>
    <row r="37">
      <c r="A37" t="inlineStr">
        <is>
          <t>IA-EW7-H2B</t>
        </is>
      </c>
      <c r="B37" t="inlineStr">
        <is>
          <t>EW_7</t>
        </is>
      </c>
      <c r="C37" t="inlineStr">
        <is>
          <t>HDR_H2</t>
        </is>
      </c>
      <c r="D37" t="n">
        <v>0.454643</v>
      </c>
      <c r="E37" t="inlineStr">
        <is>
          <t>kg/d</t>
        </is>
      </c>
      <c r="F37" t="inlineStr">
        <is>
          <t>study</t>
        </is>
      </c>
    </row>
    <row r="38">
      <c r="A38" t="inlineStr">
        <is>
          <t>IA-EW8-H2B</t>
        </is>
      </c>
      <c r="B38" t="inlineStr">
        <is>
          <t>EW_8</t>
        </is>
      </c>
      <c r="C38" t="inlineStr">
        <is>
          <t>HDR_H2</t>
        </is>
      </c>
      <c r="D38" t="n">
        <v>0.032278</v>
      </c>
      <c r="E38" t="inlineStr">
        <is>
          <t>kg/d</t>
        </is>
      </c>
      <c r="F38" t="inlineStr">
        <is>
          <t>study</t>
        </is>
      </c>
    </row>
    <row r="39">
      <c r="A39" t="inlineStr">
        <is>
          <t>IA-H2-AIR</t>
        </is>
      </c>
      <c r="B39" t="inlineStr">
        <is>
          <t>H2_DRYER</t>
        </is>
      </c>
      <c r="C39" t="inlineStr">
        <is>
          <t>CRYO_ASU</t>
        </is>
      </c>
      <c r="D39" t="n">
        <v>0</v>
      </c>
      <c r="E39" t="inlineStr">
        <is>
          <t>kg/d</t>
        </is>
      </c>
      <c r="F39" t="inlineStr">
        <is>
          <t>study</t>
        </is>
      </c>
    </row>
    <row r="40">
      <c r="A40" t="inlineStr">
        <is>
          <t>IA-HAB-VAP</t>
        </is>
      </c>
      <c r="B40" t="inlineStr">
        <is>
          <t>HABITATION</t>
        </is>
      </c>
      <c r="C40" t="inlineStr">
        <is>
          <t>CRYO_AHU</t>
        </is>
      </c>
      <c r="D40" t="n">
        <v>0</v>
      </c>
      <c r="E40" t="inlineStr">
        <is>
          <t>kg/d</t>
        </is>
      </c>
      <c r="F40" t="inlineStr">
        <is>
          <t>study</t>
        </is>
      </c>
    </row>
    <row r="41">
      <c r="A41" t="inlineStr">
        <is>
          <t>IA-HVAC-COND</t>
        </is>
      </c>
      <c r="B41" t="inlineStr">
        <is>
          <t>CRYO_AHU</t>
        </is>
      </c>
      <c r="C41" t="inlineStr">
        <is>
          <t>ROOF_TANK</t>
        </is>
      </c>
      <c r="D41" t="n">
        <v>67.443215</v>
      </c>
      <c r="E41" t="inlineStr">
        <is>
          <t>kg/d</t>
        </is>
      </c>
      <c r="F41" t="inlineStr">
        <is>
          <t>study</t>
        </is>
      </c>
    </row>
    <row r="42">
      <c r="A42" t="inlineStr">
        <is>
          <t>IA-LEACH-ASU</t>
        </is>
      </c>
      <c r="B42" t="inlineStr">
        <is>
          <t>LEACH_CSTR_1</t>
        </is>
      </c>
      <c r="C42" t="inlineStr">
        <is>
          <t>CRYO_ASU</t>
        </is>
      </c>
      <c r="D42" t="n">
        <v>0</v>
      </c>
      <c r="E42" t="inlineStr">
        <is>
          <t>kg/d</t>
        </is>
      </c>
      <c r="F42" t="inlineStr">
        <is>
          <t>study</t>
        </is>
      </c>
    </row>
    <row r="43">
      <c r="A43" t="inlineStr">
        <is>
          <t>IA-MEOH-PROD</t>
        </is>
      </c>
      <c r="B43" t="inlineStr">
        <is>
          <t>MEOH_TANK</t>
        </is>
      </c>
      <c r="C43" t="inlineStr">
        <is>
          <t>PROD_MEOH</t>
        </is>
      </c>
      <c r="D43" t="n">
        <v>28.149712</v>
      </c>
      <c r="E43" t="inlineStr">
        <is>
          <t>kg/d</t>
        </is>
      </c>
      <c r="F43" t="inlineStr">
        <is>
          <t>study</t>
        </is>
      </c>
    </row>
    <row r="44">
      <c r="A44" t="inlineStr">
        <is>
          <t>IA-MEOH-SHIP</t>
        </is>
      </c>
      <c r="B44" t="inlineStr">
        <is>
          <t>PROD_MEOH</t>
        </is>
      </c>
      <c r="C44" t="inlineStr">
        <is>
          <t>NORTH_DOCK</t>
        </is>
      </c>
      <c r="D44" t="n">
        <v>28.149712</v>
      </c>
      <c r="E44" t="inlineStr">
        <is>
          <t>kg/d</t>
        </is>
      </c>
      <c r="F44" t="inlineStr">
        <is>
          <t>study</t>
        </is>
      </c>
    </row>
    <row r="45">
      <c r="A45" t="inlineStr">
        <is>
          <t>IA-N2-RET</t>
        </is>
      </c>
      <c r="B45" t="inlineStr">
        <is>
          <t>HDR_N2</t>
        </is>
      </c>
      <c r="C45" t="inlineStr">
        <is>
          <t>CRYO_ASU</t>
        </is>
      </c>
      <c r="D45" t="n">
        <v>0</v>
      </c>
      <c r="E45" t="inlineStr">
        <is>
          <t>kg/d</t>
        </is>
      </c>
      <c r="F45" t="inlineStr">
        <is>
          <t>study</t>
        </is>
      </c>
    </row>
    <row r="46">
      <c r="A46" t="inlineStr">
        <is>
          <t>IA-N2-VENT</t>
        </is>
      </c>
      <c r="B46" t="inlineStr">
        <is>
          <t>CRYO_N2</t>
        </is>
      </c>
      <c r="C46" t="inlineStr">
        <is>
          <t>NORTH_DOCK</t>
        </is>
      </c>
      <c r="D46" t="n">
        <v>3.099779</v>
      </c>
      <c r="E46" t="inlineStr">
        <is>
          <t>kg/d</t>
        </is>
      </c>
      <c r="F46" t="inlineStr">
        <is>
          <t>study</t>
        </is>
      </c>
    </row>
    <row r="47">
      <c r="A47" t="inlineStr">
        <is>
          <t>IA-NOX-CO2</t>
        </is>
      </c>
      <c r="B47" t="inlineStr">
        <is>
          <t>NOX_SCRUB</t>
        </is>
      </c>
      <c r="C47" t="inlineStr">
        <is>
          <t>CRYO_ASU</t>
        </is>
      </c>
      <c r="D47" t="n">
        <v>21.747426</v>
      </c>
      <c r="E47" t="inlineStr">
        <is>
          <t>kg/d</t>
        </is>
      </c>
      <c r="F47" t="inlineStr">
        <is>
          <t>study</t>
        </is>
      </c>
    </row>
    <row r="48">
      <c r="A48" t="inlineStr">
        <is>
          <t>IA-NOX-N2</t>
        </is>
      </c>
      <c r="B48" t="inlineStr">
        <is>
          <t>NOX_SCRUB</t>
        </is>
      </c>
      <c r="C48" t="inlineStr">
        <is>
          <t>CRYO_ASU</t>
        </is>
      </c>
      <c r="D48" t="n">
        <v>196.655522</v>
      </c>
      <c r="E48" t="inlineStr">
        <is>
          <t>kg/d</t>
        </is>
      </c>
      <c r="F48" t="inlineStr">
        <is>
          <t>study</t>
        </is>
      </c>
    </row>
    <row r="49">
      <c r="A49" t="inlineStr">
        <is>
          <t>IA-O2-MAKE</t>
        </is>
      </c>
      <c r="B49" t="inlineStr">
        <is>
          <t>CRYO_O2</t>
        </is>
      </c>
      <c r="C49" t="inlineStr">
        <is>
          <t>HDR_O2</t>
        </is>
      </c>
      <c r="D49" t="n">
        <v>0</v>
      </c>
      <c r="E49" t="inlineStr">
        <is>
          <t>kg/d</t>
        </is>
      </c>
      <c r="F49" t="inlineStr">
        <is>
          <t>study</t>
        </is>
      </c>
    </row>
    <row r="50">
      <c r="A50" t="inlineStr">
        <is>
          <t>IA-O2-PROD</t>
        </is>
      </c>
      <c r="B50" t="inlineStr">
        <is>
          <t>HDR_O2</t>
        </is>
      </c>
      <c r="C50" t="inlineStr">
        <is>
          <t>PROD_O2</t>
        </is>
      </c>
      <c r="D50" t="n">
        <v>22.876217</v>
      </c>
      <c r="E50" t="inlineStr">
        <is>
          <t>kg/d</t>
        </is>
      </c>
      <c r="F50" t="inlineStr">
        <is>
          <t>study</t>
        </is>
      </c>
    </row>
    <row r="51">
      <c r="A51" t="inlineStr">
        <is>
          <t>IA-O2-RET</t>
        </is>
      </c>
      <c r="B51" t="inlineStr">
        <is>
          <t>HDR_O2</t>
        </is>
      </c>
      <c r="C51" t="inlineStr">
        <is>
          <t>CRYO_ASU</t>
        </is>
      </c>
      <c r="D51" t="n">
        <v>0</v>
      </c>
      <c r="E51" t="inlineStr">
        <is>
          <t>kg/d</t>
        </is>
      </c>
      <c r="F51" t="inlineStr">
        <is>
          <t>study</t>
        </is>
      </c>
    </row>
    <row r="52">
      <c r="A52" t="inlineStr">
        <is>
          <t>IA-O2-SHIP</t>
        </is>
      </c>
      <c r="B52" t="inlineStr">
        <is>
          <t>PROD_O2</t>
        </is>
      </c>
      <c r="C52" t="inlineStr">
        <is>
          <t>NORTH_DOCK</t>
        </is>
      </c>
      <c r="D52" t="n">
        <v>22.876217</v>
      </c>
      <c r="E52" t="inlineStr">
        <is>
          <t>kg/d</t>
        </is>
      </c>
      <c r="F52" t="inlineStr">
        <is>
          <t>study</t>
        </is>
      </c>
    </row>
    <row r="53">
      <c r="A53" t="inlineStr">
        <is>
          <t>S02</t>
        </is>
      </c>
      <c r="B53" t="inlineStr">
        <is>
          <t>CRYO_O2</t>
        </is>
      </c>
      <c r="C53" t="inlineStr">
        <is>
          <t>HABITATION</t>
        </is>
      </c>
      <c r="D53" t="n">
        <v>3.4</v>
      </c>
      <c r="E53" t="inlineStr">
        <is>
          <t>kg/d</t>
        </is>
      </c>
      <c r="F53" t="inlineStr">
        <is>
          <t>study</t>
        </is>
      </c>
    </row>
    <row r="54">
      <c r="A54" t="inlineStr">
        <is>
          <t>S03</t>
        </is>
      </c>
      <c r="B54" t="inlineStr">
        <is>
          <t>CRYO_N2</t>
        </is>
      </c>
      <c r="C54" t="inlineStr">
        <is>
          <t>WAFER_FAB</t>
        </is>
      </c>
      <c r="D54" t="n">
        <v>1.499799</v>
      </c>
      <c r="E54" t="inlineStr">
        <is>
          <t>kg/d</t>
        </is>
      </c>
      <c r="F54" t="inlineStr">
        <is>
          <t>study</t>
        </is>
      </c>
    </row>
    <row r="55">
      <c r="A55" t="inlineStr">
        <is>
          <t>S04</t>
        </is>
      </c>
      <c r="B55" t="inlineStr">
        <is>
          <t>CRYO_CO2</t>
        </is>
      </c>
      <c r="C55" t="inlineStr">
        <is>
          <t>GROW_BED</t>
        </is>
      </c>
      <c r="D55" t="n">
        <v>0</v>
      </c>
      <c r="E55" t="inlineStr">
        <is>
          <t>kg/d</t>
        </is>
      </c>
      <c r="F55" t="inlineStr">
        <is>
          <t>study</t>
        </is>
      </c>
    </row>
    <row r="56">
      <c r="A56" t="inlineStr">
        <is>
          <t>S18</t>
        </is>
      </c>
      <c r="B56" t="inlineStr">
        <is>
          <t>AFTERBURNER</t>
        </is>
      </c>
      <c r="C56" t="inlineStr">
        <is>
          <t>CRYO_CO2</t>
        </is>
      </c>
      <c r="D56" t="n">
        <v>0</v>
      </c>
      <c r="E56" t="inlineStr">
        <is>
          <t>kg/d</t>
        </is>
      </c>
      <c r="F56" t="inlineStr">
        <is>
          <t>study</t>
        </is>
      </c>
    </row>
    <row r="57">
      <c r="A57" t="inlineStr">
        <is>
          <t>S45</t>
        </is>
      </c>
      <c r="B57" t="inlineStr">
        <is>
          <t>CRYO_H2</t>
        </is>
      </c>
      <c r="C57" t="inlineStr">
        <is>
          <t>BACKUP_GEN</t>
        </is>
      </c>
      <c r="D57" t="n">
        <v>0</v>
      </c>
      <c r="E57" t="inlineStr">
        <is>
          <t>kg/d</t>
        </is>
      </c>
      <c r="F57" t="inlineStr">
        <is>
          <t>study</t>
        </is>
      </c>
    </row>
    <row r="58">
      <c r="A58" t="inlineStr">
        <is>
          <t>S49</t>
        </is>
      </c>
      <c r="B58" t="inlineStr">
        <is>
          <t>CRYO_H2</t>
        </is>
      </c>
      <c r="C58" t="inlineStr">
        <is>
          <t>FUEL_CELL</t>
        </is>
      </c>
      <c r="D58" t="n">
        <v>4.8</v>
      </c>
      <c r="E58" t="inlineStr">
        <is>
          <t>kg/d</t>
        </is>
      </c>
      <c r="F58" t="inlineStr">
        <is>
          <t>study</t>
        </is>
      </c>
    </row>
    <row r="59">
      <c r="A59" t="inlineStr">
        <is>
          <t>S50</t>
        </is>
      </c>
      <c r="B59" t="inlineStr">
        <is>
          <t>CRYO_O2</t>
        </is>
      </c>
      <c r="C59" t="inlineStr">
        <is>
          <t>FUEL_CELL</t>
        </is>
      </c>
      <c r="D59" t="n">
        <v>38.4</v>
      </c>
      <c r="E59" t="inlineStr">
        <is>
          <t>kg/d</t>
        </is>
      </c>
      <c r="F59" t="inlineStr">
        <is>
          <t>study</t>
        </is>
      </c>
    </row>
    <row r="60">
      <c r="A60" t="inlineStr">
        <is>
          <t>S54</t>
        </is>
      </c>
      <c r="B60" t="inlineStr">
        <is>
          <t>CRYO_HX_Q4</t>
        </is>
      </c>
      <c r="C60" t="inlineStr">
        <is>
          <t>Q4_BUS</t>
        </is>
      </c>
      <c r="D60" t="n">
        <v>0.5448</v>
      </c>
      <c r="E60" t="inlineStr">
        <is>
          <t>kW</t>
        </is>
      </c>
      <c r="F60" t="inlineStr">
        <is>
          <t>study</t>
        </is>
      </c>
    </row>
    <row r="61">
      <c r="A61" t="inlineStr">
        <is>
          <t>S55</t>
        </is>
      </c>
      <c r="B61" t="inlineStr">
        <is>
          <t>CRYO_DED_COOL</t>
        </is>
      </c>
      <c r="C61" t="inlineStr">
        <is>
          <t>CRYO_DED_COOL</t>
        </is>
      </c>
      <c r="D61" t="n">
        <v>4.2838</v>
      </c>
      <c r="E61" t="inlineStr">
        <is>
          <t>kW</t>
        </is>
      </c>
      <c r="F61" t="inlineStr">
        <is>
          <t>study</t>
        </is>
      </c>
    </row>
    <row r="62">
      <c r="A62" t="inlineStr">
        <is>
          <t>S56</t>
        </is>
      </c>
      <c r="B62" t="inlineStr">
        <is>
          <t>CRYO_AHU</t>
        </is>
      </c>
      <c r="C62" t="inlineStr">
        <is>
          <t>RELIEF_CRYO</t>
        </is>
      </c>
      <c r="D62" t="n">
        <v>0</v>
      </c>
      <c r="E62" t="inlineStr">
        <is>
          <t>kg/d</t>
        </is>
      </c>
      <c r="F62" t="inlineStr">
        <is>
          <t>study</t>
        </is>
      </c>
    </row>
    <row r="63">
      <c r="A63" t="inlineStr">
        <is>
          <t>S64</t>
        </is>
      </c>
      <c r="B63" t="inlineStr">
        <is>
          <t>H2_DRYER</t>
        </is>
      </c>
      <c r="C63" t="inlineStr">
        <is>
          <t>CRYO_H2</t>
        </is>
      </c>
      <c r="D63" t="n">
        <v>1.975408</v>
      </c>
      <c r="E63" t="inlineStr">
        <is>
          <t>kg/d</t>
        </is>
      </c>
      <c r="F63" t="inlineStr">
        <is>
          <t>authority</t>
        </is>
      </c>
    </row>
    <row r="64">
      <c r="A64" t="inlineStr">
        <is>
          <t>S67B</t>
        </is>
      </c>
      <c r="B64" t="inlineStr">
        <is>
          <t>FLUE_KO</t>
        </is>
      </c>
      <c r="C64" t="inlineStr">
        <is>
          <t>CRYO_CO2</t>
        </is>
      </c>
      <c r="D64" t="n">
        <v>14.050492</v>
      </c>
      <c r="E64" t="inlineStr">
        <is>
          <t>kg/d</t>
        </is>
      </c>
      <c r="F64" t="inlineStr">
        <is>
          <t>study</t>
        </is>
      </c>
    </row>
    <row r="65">
      <c r="A65" t="inlineStr">
        <is>
          <t>S68</t>
        </is>
      </c>
      <c r="B65" t="inlineStr">
        <is>
          <t>CRYO_AHU</t>
        </is>
      </c>
      <c r="C65" t="inlineStr">
        <is>
          <t>LEACH_CSTR_1</t>
        </is>
      </c>
      <c r="D65" t="n">
        <v>78.98790099999999</v>
      </c>
      <c r="E65" t="inlineStr">
        <is>
          <t>kg/d</t>
        </is>
      </c>
      <c r="F65" t="inlineStr">
        <is>
          <t>study</t>
        </is>
      </c>
    </row>
    <row r="66">
      <c r="A66" t="inlineStr">
        <is>
          <t>S70</t>
        </is>
      </c>
      <c r="B66" t="inlineStr">
        <is>
          <t>CRYO_AHU_COND_CONDENSABLE</t>
        </is>
      </c>
      <c r="C66" t="inlineStr">
        <is>
          <t>FLUE_KO</t>
        </is>
      </c>
      <c r="D66" t="n">
        <v>0.0521</v>
      </c>
      <c r="E66" t="inlineStr">
        <is>
          <t>kg/d</t>
        </is>
      </c>
      <c r="F66" t="inlineStr">
        <is>
          <t>study</t>
        </is>
      </c>
    </row>
    <row r="67">
      <c r="A67" t="inlineStr">
        <is>
          <t>S73</t>
        </is>
      </c>
      <c r="B67" t="inlineStr">
        <is>
          <t>CRYO_CO2</t>
        </is>
      </c>
      <c r="C67" t="inlineStr">
        <is>
          <t>MEOH_SYNTH</t>
        </is>
      </c>
      <c r="D67" t="n">
        <v>44.423559</v>
      </c>
      <c r="E67" t="inlineStr">
        <is>
          <t>kg/d</t>
        </is>
      </c>
      <c r="F67" t="inlineStr">
        <is>
          <t>study</t>
        </is>
      </c>
    </row>
    <row r="68">
      <c r="A68" t="inlineStr">
        <is>
          <t>S74</t>
        </is>
      </c>
      <c r="B68" t="inlineStr">
        <is>
          <t>CRYO_H2</t>
        </is>
      </c>
      <c r="C68" t="inlineStr">
        <is>
          <t>MEOH_SYNTH</t>
        </is>
      </c>
      <c r="D68" t="n">
        <v>6.536155</v>
      </c>
      <c r="E68" t="inlineStr">
        <is>
          <t>kg/d</t>
        </is>
      </c>
      <c r="F68" t="inlineStr">
        <is>
          <t>study</t>
        </is>
      </c>
    </row>
    <row r="69">
      <c r="A69" t="inlineStr">
        <is>
          <t>S82</t>
        </is>
      </c>
      <c r="B69" t="inlineStr">
        <is>
          <t>MEOH_FC</t>
        </is>
      </c>
      <c r="C69" t="inlineStr">
        <is>
          <t>CRYO_CO2</t>
        </is>
      </c>
      <c r="D69" t="n">
        <v>8.625641</v>
      </c>
      <c r="E69" t="inlineStr">
        <is>
          <t>kg/d</t>
        </is>
      </c>
      <c r="F69" t="inlineStr">
        <is>
          <t>study</t>
        </is>
      </c>
    </row>
    <row r="70">
      <c r="A70" t="inlineStr">
        <is>
          <t>S83</t>
        </is>
      </c>
      <c r="B70" t="inlineStr">
        <is>
          <t>CRYO_O2</t>
        </is>
      </c>
      <c r="C70" t="inlineStr">
        <is>
          <t>HDR_O2</t>
        </is>
      </c>
      <c r="D70" t="n">
        <v>33.195501</v>
      </c>
      <c r="E70" t="inlineStr">
        <is>
          <t>kg/d</t>
        </is>
      </c>
      <c r="F70" t="inlineStr">
        <is>
          <t>study</t>
        </is>
      </c>
    </row>
    <row r="71">
      <c r="A71" t="inlineStr">
        <is>
          <t>S84</t>
        </is>
      </c>
      <c r="B71" t="inlineStr">
        <is>
          <t>CRYO_N2</t>
        </is>
      </c>
      <c r="C71" t="inlineStr">
        <is>
          <t>AIR_RECEIVER</t>
        </is>
      </c>
      <c r="D71" t="n">
        <v>191.989014</v>
      </c>
      <c r="E71" t="inlineStr">
        <is>
          <t>kg/d</t>
        </is>
      </c>
      <c r="F71" t="inlineStr">
        <is>
          <t>study</t>
        </is>
      </c>
    </row>
    <row r="72">
      <c r="A72" t="inlineStr">
        <is>
          <t>S85</t>
        </is>
      </c>
      <c r="B72" t="inlineStr">
        <is>
          <t>CRYO_CO2</t>
        </is>
      </c>
      <c r="C72" t="inlineStr">
        <is>
          <t>HDR_CO2</t>
        </is>
      </c>
      <c r="D72" t="n">
        <v>0</v>
      </c>
      <c r="E72" t="inlineStr">
        <is>
          <t>kg/d</t>
        </is>
      </c>
      <c r="F72" t="inlineStr">
        <is>
          <t>study</t>
        </is>
      </c>
    </row>
    <row r="73">
      <c r="A73" t="inlineStr">
        <is>
          <t>S86</t>
        </is>
      </c>
      <c r="B73" t="inlineStr">
        <is>
          <t>CRYO_AHU</t>
        </is>
      </c>
      <c r="C73" t="inlineStr">
        <is>
          <t>RELIEF_CRYO</t>
        </is>
      </c>
      <c r="D73" t="n">
        <v>0</v>
      </c>
      <c r="E73" t="inlineStr">
        <is>
          <t>kg/d</t>
        </is>
      </c>
      <c r="F73" t="inlineStr">
        <is>
          <t>study</t>
        </is>
      </c>
    </row>
    <row r="74">
      <c r="A74" t="inlineStr">
        <is>
          <t>S87</t>
        </is>
      </c>
      <c r="B74" t="inlineStr">
        <is>
          <t>GROW_BED</t>
        </is>
      </c>
      <c r="C74" t="inlineStr">
        <is>
          <t>CRYO_O2</t>
        </is>
      </c>
      <c r="D74" t="n">
        <v>0.641572</v>
      </c>
      <c r="E74" t="inlineStr">
        <is>
          <t>kg/d</t>
        </is>
      </c>
      <c r="F74" t="inlineStr">
        <is>
          <t>study</t>
        </is>
      </c>
    </row>
    <row r="75">
      <c r="A75" t="inlineStr">
        <is>
          <t>S88</t>
        </is>
      </c>
      <c r="B75" t="inlineStr">
        <is>
          <t>CRYO_N2</t>
        </is>
      </c>
      <c r="C75" t="inlineStr">
        <is>
          <t>GROW_BED</t>
        </is>
      </c>
      <c r="D75" t="n">
        <v>0</v>
      </c>
      <c r="E75" t="inlineStr">
        <is>
          <t>kg/d</t>
        </is>
      </c>
      <c r="F75" t="inlineStr">
        <is>
          <t>study</t>
        </is>
      </c>
    </row>
    <row r="76">
      <c r="A76" t="inlineStr">
        <is>
          <t>SF-CRYO_AHU</t>
        </is>
      </c>
      <c r="B76" t="inlineStr">
        <is>
          <t>SOL_ARK_60K</t>
        </is>
      </c>
      <c r="C76" t="inlineStr">
        <is>
          <t>CRYO_AHU</t>
        </is>
      </c>
      <c r="D76" t="n">
        <v>0.6472</v>
      </c>
      <c r="E76" t="inlineStr">
        <is>
          <t>kW</t>
        </is>
      </c>
      <c r="F76" t="inlineStr">
        <is>
          <t>study</t>
        </is>
      </c>
    </row>
    <row r="77">
      <c r="A77" t="inlineStr">
        <is>
          <t>SF-CRYO_ASU</t>
        </is>
      </c>
      <c r="B77" t="inlineStr">
        <is>
          <t>SOL_ARK_60K</t>
        </is>
      </c>
      <c r="C77" t="inlineStr">
        <is>
          <t>CRYO_ASU</t>
        </is>
      </c>
      <c r="D77" t="n">
        <v>1.6689</v>
      </c>
      <c r="E77" t="inlineStr">
        <is>
          <t>kW</t>
        </is>
      </c>
      <c r="F77" t="inlineStr">
        <is>
          <t>study</t>
        </is>
      </c>
    </row>
    <row r="78">
      <c r="A78" t="inlineStr">
        <is>
          <t>SF-CRYO_H2</t>
        </is>
      </c>
      <c r="B78" t="inlineStr">
        <is>
          <t>SOL_ARK_60K</t>
        </is>
      </c>
      <c r="C78" t="inlineStr">
        <is>
          <t>CRYO_H2</t>
        </is>
      </c>
      <c r="D78" t="n">
        <v>0.9327</v>
      </c>
      <c r="E78" t="inlineStr">
        <is>
          <t>kW</t>
        </is>
      </c>
      <c r="F78" t="inlineStr">
        <is>
          <t>study</t>
        </is>
      </c>
    </row>
    <row r="79">
      <c r="A79" t="inlineStr">
        <is>
          <t>SF-H2O_ELYZ</t>
        </is>
      </c>
      <c r="B79" t="inlineStr">
        <is>
          <t>SOL_ARK_60K</t>
        </is>
      </c>
      <c r="C79" t="inlineStr">
        <is>
          <t>H2O_ELYZ</t>
        </is>
      </c>
      <c r="D79" t="n">
        <v>21.4517</v>
      </c>
      <c r="E79" t="inlineStr">
        <is>
          <t>kW</t>
        </is>
      </c>
      <c r="F79" t="inlineStr">
        <is>
          <t>study</t>
        </is>
      </c>
    </row>
    <row r="80">
      <c r="A80" t="inlineStr">
        <is>
          <t>SQ-H2O_ELYZ-Q4</t>
        </is>
      </c>
      <c r="B80" t="inlineStr">
        <is>
          <t>H2O_ELYZ</t>
        </is>
      </c>
      <c r="C80" t="inlineStr">
        <is>
          <t>Q4_BUS</t>
        </is>
      </c>
      <c r="D80" t="n">
        <v>6.0845</v>
      </c>
      <c r="E80" t="inlineStr">
        <is>
          <t>kW</t>
        </is>
      </c>
      <c r="F80" t="inlineStr">
        <is>
          <t>study</t>
        </is>
      </c>
    </row>
  </sheetData>
  <autoFilter ref="A1:H15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8" customWidth="1" min="3" max="3"/>
    <col width="10" customWidth="1" min="4" max="4"/>
    <col width="12" customWidth="1" min="5" max="5"/>
    <col width="16" customWidth="1" min="6" max="6"/>
    <col width="9" customWidth="1" min="7" max="7"/>
    <col width="13" customWidth="1" min="8" max="8"/>
  </cols>
  <sheetData>
    <row r="1">
      <c r="A1" s="3" t="inlineStr">
        <is>
          <t>unit_id</t>
        </is>
      </c>
      <c r="B1" s="3" t="inlineStr">
        <is>
          <t>continuous_kw</t>
        </is>
      </c>
      <c r="C1" s="3" t="inlineStr">
        <is>
          <t>kw_unit</t>
        </is>
      </c>
      <c r="D1" s="3" t="inlineStr">
        <is>
          <t>kw_status</t>
        </is>
      </c>
      <c r="E1" s="3" t="inlineStr">
        <is>
          <t>presence</t>
        </is>
      </c>
      <c r="F1" s="3" t="inlineStr">
        <is>
          <t>class</t>
        </is>
      </c>
      <c r="G1" s="3" t="inlineStr">
        <is>
          <t>enabled</t>
        </is>
      </c>
      <c r="H1" s="3" t="inlineStr">
        <is>
          <t>graph_sector</t>
        </is>
      </c>
    </row>
    <row r="2">
      <c r="A2" t="inlineStr">
        <is>
          <t>BLACK_DIGEST</t>
        </is>
      </c>
      <c r="B2" s="8" t="n">
        <v>0.1052</v>
      </c>
      <c r="C2" t="inlineStr">
        <is>
          <t>kW</t>
        </is>
      </c>
      <c r="D2" t="inlineStr">
        <is>
          <t>study</t>
        </is>
      </c>
      <c r="E2" t="inlineStr">
        <is>
          <t>present</t>
        </is>
      </c>
      <c r="F2" t="inlineStr">
        <is>
          <t>digest</t>
        </is>
      </c>
      <c r="G2" t="b">
        <v>1</v>
      </c>
      <c r="H2" t="inlineStr">
        <is>
          <t>WTR</t>
        </is>
      </c>
    </row>
    <row r="3">
      <c r="A3" t="inlineStr">
        <is>
          <t>BMED_UPW_POLISH</t>
        </is>
      </c>
      <c r="B3" s="8" t="n">
        <v>0.018</v>
      </c>
      <c r="C3" t="inlineStr">
        <is>
          <t>kW</t>
        </is>
      </c>
      <c r="D3" t="inlineStr">
        <is>
          <t>study</t>
        </is>
      </c>
      <c r="E3" t="inlineStr">
        <is>
          <t>present</t>
        </is>
      </c>
      <c r="F3" t="inlineStr">
        <is>
          <t>skid</t>
        </is>
      </c>
      <c r="G3" t="b">
        <v>1</v>
      </c>
      <c r="H3" t="inlineStr">
        <is>
          <t>WTR</t>
        </is>
      </c>
    </row>
    <row r="4">
      <c r="A4" t="inlineStr">
        <is>
          <t>CATCH_TANK</t>
        </is>
      </c>
      <c r="E4" t="inlineStr">
        <is>
          <t>present</t>
        </is>
      </c>
      <c r="F4" t="inlineStr">
        <is>
          <t>tank</t>
        </is>
      </c>
      <c r="G4" t="b">
        <v>1</v>
      </c>
      <c r="H4" t="inlineStr">
        <is>
          <t>WTR</t>
        </is>
      </c>
    </row>
    <row r="5">
      <c r="A5" t="inlineStr">
        <is>
          <t>GREY_TREAT</t>
        </is>
      </c>
      <c r="E5" t="inlineStr">
        <is>
          <t>present</t>
        </is>
      </c>
      <c r="F5" t="inlineStr">
        <is>
          <t>treat</t>
        </is>
      </c>
      <c r="G5" t="b">
        <v>1</v>
      </c>
      <c r="H5" t="inlineStr">
        <is>
          <t>WTR</t>
        </is>
      </c>
    </row>
    <row r="6">
      <c r="A6" t="inlineStr">
        <is>
          <t>HDR_UPW</t>
        </is>
      </c>
      <c r="E6" t="inlineStr">
        <is>
          <t>present</t>
        </is>
      </c>
      <c r="F6" t="inlineStr">
        <is>
          <t>header</t>
        </is>
      </c>
      <c r="G6" t="b">
        <v>1</v>
      </c>
      <c r="H6" t="inlineStr">
        <is>
          <t>WTR</t>
        </is>
      </c>
    </row>
    <row r="7">
      <c r="A7" t="inlineStr">
        <is>
          <t>REMIN</t>
        </is>
      </c>
      <c r="B7" s="8" t="n">
        <v>0.046</v>
      </c>
      <c r="C7" t="inlineStr">
        <is>
          <t>kW</t>
        </is>
      </c>
      <c r="D7" t="inlineStr">
        <is>
          <t>study</t>
        </is>
      </c>
      <c r="E7" t="inlineStr">
        <is>
          <t>present</t>
        </is>
      </c>
      <c r="F7" t="inlineStr">
        <is>
          <t>dose</t>
        </is>
      </c>
      <c r="G7" t="b">
        <v>1</v>
      </c>
      <c r="H7" t="inlineStr">
        <is>
          <t>WTR</t>
        </is>
      </c>
    </row>
    <row r="8">
      <c r="A8" t="inlineStr">
        <is>
          <t>ROOF_TANK</t>
        </is>
      </c>
      <c r="E8" t="inlineStr">
        <is>
          <t>present</t>
        </is>
      </c>
      <c r="F8" t="inlineStr">
        <is>
          <t>tank</t>
        </is>
      </c>
      <c r="G8" t="b">
        <v>1</v>
      </c>
      <c r="H8" t="inlineStr">
        <is>
          <t>WTR</t>
        </is>
      </c>
    </row>
    <row r="9">
      <c r="A9" t="inlineStr">
        <is>
          <t>VCD_TRAIN</t>
        </is>
      </c>
      <c r="B9" s="8" t="n">
        <v>0.236</v>
      </c>
      <c r="C9" t="inlineStr">
        <is>
          <t>kW</t>
        </is>
      </c>
      <c r="D9" t="inlineStr">
        <is>
          <t>study</t>
        </is>
      </c>
      <c r="E9" t="inlineStr">
        <is>
          <t>present</t>
        </is>
      </c>
      <c r="F9" t="inlineStr">
        <is>
          <t>evaporator</t>
        </is>
      </c>
      <c r="G9" t="b">
        <v>1</v>
      </c>
      <c r="H9" t="inlineStr">
        <is>
          <t>WTR</t>
        </is>
      </c>
    </row>
    <row r="11">
      <c r="A11" s="1" t="inlineStr">
        <is>
          <t>SUBTOTAL continuous kW (SUM)</t>
        </is>
      </c>
      <c r="B11" s="10">
        <f>SUM(B2:B9)</f>
        <v/>
      </c>
    </row>
    <row r="13">
      <c r="A13" s="9" t="inlineStr">
        <is>
          <t>EDGES TOUCHING THIS SECTOR (from or to)</t>
        </is>
      </c>
    </row>
    <row r="14">
      <c r="A14" s="3" t="inlineStr">
        <is>
          <t>stream_id</t>
        </is>
      </c>
      <c r="B14" s="3" t="inlineStr">
        <is>
          <t>from_unit</t>
        </is>
      </c>
      <c r="C14" s="3" t="inlineStr">
        <is>
          <t>to_unit</t>
        </is>
      </c>
      <c r="D14" s="3" t="inlineStr">
        <is>
          <t>rate</t>
        </is>
      </c>
      <c r="E14" s="3" t="inlineStr">
        <is>
          <t>unit</t>
        </is>
      </c>
      <c r="F14" s="3" t="inlineStr">
        <is>
          <t>status</t>
        </is>
      </c>
    </row>
    <row r="15">
      <c r="A15" t="inlineStr">
        <is>
          <t>DIGEST_TO_POLY</t>
        </is>
      </c>
      <c r="B15" t="inlineStr">
        <is>
          <t>BLACK_DIGEST</t>
        </is>
      </c>
      <c r="C15" t="inlineStr">
        <is>
          <t>POLY_COND</t>
        </is>
      </c>
      <c r="D15" t="n">
        <v>0</v>
      </c>
      <c r="E15" t="inlineStr">
        <is>
          <t>kg/d</t>
        </is>
      </c>
      <c r="F15" t="inlineStr">
        <is>
          <t>study</t>
        </is>
      </c>
    </row>
    <row r="16">
      <c r="A16" t="inlineStr">
        <is>
          <t>HAB_BLACK</t>
        </is>
      </c>
      <c r="B16" t="inlineStr">
        <is>
          <t>HABITATION</t>
        </is>
      </c>
      <c r="C16" t="inlineStr">
        <is>
          <t>BLACK_DIGEST</t>
        </is>
      </c>
      <c r="F16" t="inlineStr">
        <is>
          <t>null</t>
        </is>
      </c>
    </row>
    <row r="17">
      <c r="A17" t="inlineStr">
        <is>
          <t>HAB_GREY</t>
        </is>
      </c>
      <c r="B17" t="inlineStr">
        <is>
          <t>HABITATION</t>
        </is>
      </c>
      <c r="C17" t="inlineStr">
        <is>
          <t>GREY_TREAT</t>
        </is>
      </c>
      <c r="F17" t="inlineStr">
        <is>
          <t>null</t>
        </is>
      </c>
    </row>
    <row r="18">
      <c r="A18" t="inlineStr">
        <is>
          <t>IA-BED-H2O</t>
        </is>
      </c>
      <c r="B18" t="inlineStr">
        <is>
          <t>ROOF_TANK</t>
        </is>
      </c>
      <c r="C18" t="inlineStr">
        <is>
          <t>GROW_BED</t>
        </is>
      </c>
      <c r="D18" t="n">
        <v>42.138417</v>
      </c>
      <c r="E18" t="inlineStr">
        <is>
          <t>kg/d</t>
        </is>
      </c>
      <c r="F18" t="inlineStr">
        <is>
          <t>study</t>
        </is>
      </c>
    </row>
    <row r="19">
      <c r="A19" t="inlineStr">
        <is>
          <t>IA-BLK-01</t>
        </is>
      </c>
      <c r="B19" t="inlineStr">
        <is>
          <t>HABITATION</t>
        </is>
      </c>
      <c r="C19" t="inlineStr">
        <is>
          <t>BLACK_DIGEST</t>
        </is>
      </c>
      <c r="D19" t="n">
        <v>19.644</v>
      </c>
      <c r="E19" t="inlineStr">
        <is>
          <t>kg/d</t>
        </is>
      </c>
      <c r="F19" t="inlineStr">
        <is>
          <t>study</t>
        </is>
      </c>
    </row>
    <row r="20">
      <c r="A20" t="inlineStr">
        <is>
          <t>IA-BLK-CAKE</t>
        </is>
      </c>
      <c r="B20" t="inlineStr">
        <is>
          <t>BLACK_DIGEST</t>
        </is>
      </c>
      <c r="C20" t="inlineStr">
        <is>
          <t>AFTERBURNER</t>
        </is>
      </c>
      <c r="D20" t="n">
        <v>0.67</v>
      </c>
      <c r="E20" t="inlineStr">
        <is>
          <t>kg/d</t>
        </is>
      </c>
      <c r="F20" t="inlineStr">
        <is>
          <t>study</t>
        </is>
      </c>
    </row>
    <row r="21">
      <c r="A21" t="inlineStr">
        <is>
          <t>IA-BLK-GAS</t>
        </is>
      </c>
      <c r="B21" t="inlineStr">
        <is>
          <t>BLACK_DIGEST</t>
        </is>
      </c>
      <c r="C21" t="inlineStr">
        <is>
          <t>AFTERBURNER</t>
        </is>
      </c>
      <c r="D21" t="n">
        <v>0.09859999999999999</v>
      </c>
      <c r="E21" t="inlineStr">
        <is>
          <t>kg/d</t>
        </is>
      </c>
      <c r="F21" t="inlineStr">
        <is>
          <t>study</t>
        </is>
      </c>
    </row>
    <row r="22">
      <c r="A22" t="inlineStr">
        <is>
          <t>IA-BLK-GREY</t>
        </is>
      </c>
      <c r="B22" t="inlineStr">
        <is>
          <t>BLACK_DIGEST</t>
        </is>
      </c>
      <c r="C22" t="inlineStr">
        <is>
          <t>GREY_TREAT</t>
        </is>
      </c>
      <c r="D22" t="n">
        <v>21.0508</v>
      </c>
      <c r="E22" t="inlineStr">
        <is>
          <t>kg/d</t>
        </is>
      </c>
      <c r="F22" t="inlineStr">
        <is>
          <t>study</t>
        </is>
      </c>
    </row>
    <row r="23">
      <c r="A23" t="inlineStr">
        <is>
          <t>IA-BLK-NUT</t>
        </is>
      </c>
      <c r="B23" t="inlineStr">
        <is>
          <t>BLACK_DIGEST</t>
        </is>
      </c>
      <c r="C23" t="inlineStr">
        <is>
          <t>NUTRIENT_DOSE</t>
        </is>
      </c>
      <c r="D23" t="n">
        <v>0.9</v>
      </c>
      <c r="E23" t="inlineStr">
        <is>
          <t>kg/d</t>
        </is>
      </c>
      <c r="F23" t="inlineStr">
        <is>
          <t>study</t>
        </is>
      </c>
    </row>
    <row r="24">
      <c r="A24" t="inlineStr">
        <is>
          <t>IA-ELY-H2O</t>
        </is>
      </c>
      <c r="B24" t="inlineStr">
        <is>
          <t>ROOF_TANK</t>
        </is>
      </c>
      <c r="C24" t="inlineStr">
        <is>
          <t>H2O_ELYZ</t>
        </is>
      </c>
      <c r="D24" t="n">
        <v>83.647747</v>
      </c>
      <c r="E24" t="inlineStr">
        <is>
          <t>kg/d</t>
        </is>
      </c>
      <c r="F24" t="inlineStr">
        <is>
          <t>study</t>
        </is>
      </c>
    </row>
    <row r="25">
      <c r="A25" t="inlineStr">
        <is>
          <t>IA-ESS-HYDRO-CHG</t>
        </is>
      </c>
      <c r="B25" t="inlineStr">
        <is>
          <t>CATCH_TANK</t>
        </is>
      </c>
      <c r="C25" t="inlineStr">
        <is>
          <t>ROOF_TANK</t>
        </is>
      </c>
      <c r="D25" t="n">
        <v>0</v>
      </c>
      <c r="E25" t="inlineStr">
        <is>
          <t>kg/d</t>
        </is>
      </c>
      <c r="F25" t="inlineStr">
        <is>
          <t>study</t>
        </is>
      </c>
    </row>
    <row r="26">
      <c r="A26" t="inlineStr">
        <is>
          <t>IA-ESS-HYDRO-DIS</t>
        </is>
      </c>
      <c r="B26" t="inlineStr">
        <is>
          <t>ROOF_TANK</t>
        </is>
      </c>
      <c r="C26" t="inlineStr">
        <is>
          <t>CATCH_TANK</t>
        </is>
      </c>
      <c r="D26" t="n">
        <v>0</v>
      </c>
      <c r="E26" t="inlineStr">
        <is>
          <t>kg/d</t>
        </is>
      </c>
      <c r="F26" t="inlineStr">
        <is>
          <t>study</t>
        </is>
      </c>
    </row>
    <row r="27">
      <c r="A27" t="inlineStr">
        <is>
          <t>IA-FEC-01</t>
        </is>
      </c>
      <c r="B27" t="inlineStr">
        <is>
          <t>HABITATION</t>
        </is>
      </c>
      <c r="C27" t="inlineStr">
        <is>
          <t>BLACK_DIGEST</t>
        </is>
      </c>
      <c r="D27" t="n">
        <v>0.13</v>
      </c>
      <c r="E27" t="inlineStr">
        <is>
          <t>kg/d</t>
        </is>
      </c>
      <c r="F27" t="inlineStr">
        <is>
          <t>study</t>
        </is>
      </c>
    </row>
    <row r="28">
      <c r="A28" t="inlineStr">
        <is>
          <t>IA-FERM-DIG</t>
        </is>
      </c>
      <c r="B28" t="inlineStr">
        <is>
          <t>MEOH_FERM</t>
        </is>
      </c>
      <c r="C28" t="inlineStr">
        <is>
          <t>BLACK_DIGEST</t>
        </is>
      </c>
      <c r="D28" t="n">
        <v>0.3454</v>
      </c>
      <c r="E28" t="inlineStr">
        <is>
          <t>kg/d</t>
        </is>
      </c>
      <c r="F28" t="inlineStr">
        <is>
          <t>study</t>
        </is>
      </c>
    </row>
    <row r="29">
      <c r="A29" t="inlineStr">
        <is>
          <t>IA-FLUE-QUENCH</t>
        </is>
      </c>
      <c r="B29" t="inlineStr">
        <is>
          <t>ROOF_TANK</t>
        </is>
      </c>
      <c r="C29" t="inlineStr">
        <is>
          <t>FLUE_KO</t>
        </is>
      </c>
      <c r="D29" t="n">
        <v>24.31</v>
      </c>
      <c r="E29" t="inlineStr">
        <is>
          <t>kg/d</t>
        </is>
      </c>
      <c r="F29" t="inlineStr">
        <is>
          <t>study</t>
        </is>
      </c>
    </row>
    <row r="30">
      <c r="A30" t="inlineStr">
        <is>
          <t>IA-GAL</t>
        </is>
      </c>
      <c r="B30" t="inlineStr">
        <is>
          <t>HABITATION</t>
        </is>
      </c>
      <c r="C30" t="inlineStr">
        <is>
          <t>BLACK_DIGEST</t>
        </is>
      </c>
      <c r="D30" t="n">
        <v>1.18</v>
      </c>
      <c r="E30" t="inlineStr">
        <is>
          <t>kg/d</t>
        </is>
      </c>
      <c r="F30" t="inlineStr">
        <is>
          <t>study</t>
        </is>
      </c>
    </row>
    <row r="31">
      <c r="A31" t="inlineStr">
        <is>
          <t>IA-GREY-01</t>
        </is>
      </c>
      <c r="B31" t="inlineStr">
        <is>
          <t>GREY_TREAT</t>
        </is>
      </c>
      <c r="C31" t="inlineStr">
        <is>
          <t>LEACH_CSTR_1</t>
        </is>
      </c>
      <c r="D31" t="n">
        <v>244.641602</v>
      </c>
      <c r="E31" t="inlineStr">
        <is>
          <t>kg/d</t>
        </is>
      </c>
      <c r="F31" t="inlineStr">
        <is>
          <t>study</t>
        </is>
      </c>
    </row>
    <row r="32">
      <c r="A32" t="inlineStr">
        <is>
          <t>IA-GREY-RET</t>
        </is>
      </c>
      <c r="B32" t="inlineStr">
        <is>
          <t>GREY_TREAT</t>
        </is>
      </c>
      <c r="C32" t="inlineStr">
        <is>
          <t>ROOF_TANK</t>
        </is>
      </c>
      <c r="D32" t="n">
        <v>0</v>
      </c>
      <c r="E32" t="inlineStr">
        <is>
          <t>kg/d</t>
        </is>
      </c>
      <c r="F32" t="inlineStr">
        <is>
          <t>study</t>
        </is>
      </c>
    </row>
    <row r="33">
      <c r="A33" t="inlineStr">
        <is>
          <t>IA-H2P-H2O</t>
        </is>
      </c>
      <c r="B33" t="inlineStr">
        <is>
          <t>H2_DRYER</t>
        </is>
      </c>
      <c r="C33" t="inlineStr">
        <is>
          <t>VCD_TRAIN</t>
        </is>
      </c>
      <c r="D33" t="n">
        <v>0</v>
      </c>
      <c r="E33" t="inlineStr">
        <is>
          <t>kg/d</t>
        </is>
      </c>
      <c r="F33" t="inlineStr">
        <is>
          <t>study</t>
        </is>
      </c>
    </row>
    <row r="34">
      <c r="A34" t="inlineStr">
        <is>
          <t>IA-HVAC-COND</t>
        </is>
      </c>
      <c r="B34" t="inlineStr">
        <is>
          <t>CRYO_AHU</t>
        </is>
      </c>
      <c r="C34" t="inlineStr">
        <is>
          <t>ROOF_TANK</t>
        </is>
      </c>
      <c r="D34" t="n">
        <v>67.443215</v>
      </c>
      <c r="E34" t="inlineStr">
        <is>
          <t>kg/d</t>
        </is>
      </c>
      <c r="F34" t="inlineStr">
        <is>
          <t>study</t>
        </is>
      </c>
    </row>
    <row r="35">
      <c r="A35" t="inlineStr">
        <is>
          <t>IA-LEACH-VCD</t>
        </is>
      </c>
      <c r="B35" t="inlineStr">
        <is>
          <t>LEACH_CSTR_1</t>
        </is>
      </c>
      <c r="C35" t="inlineStr">
        <is>
          <t>VCD_TRAIN</t>
        </is>
      </c>
      <c r="D35" t="n">
        <v>168.058502</v>
      </c>
      <c r="E35" t="inlineStr">
        <is>
          <t>kg/d</t>
        </is>
      </c>
      <c r="F35" t="inlineStr">
        <is>
          <t>study</t>
        </is>
      </c>
    </row>
    <row r="36">
      <c r="A36" t="inlineStr">
        <is>
          <t>IA-MEOH-COND</t>
        </is>
      </c>
      <c r="B36" t="inlineStr">
        <is>
          <t>MEOH_COND</t>
        </is>
      </c>
      <c r="C36" t="inlineStr">
        <is>
          <t>ROOF_TANK</t>
        </is>
      </c>
      <c r="D36" t="n">
        <v>26.720075</v>
      </c>
      <c r="E36" t="inlineStr">
        <is>
          <t>kg/d</t>
        </is>
      </c>
      <c r="F36" t="inlineStr">
        <is>
          <t>study</t>
        </is>
      </c>
    </row>
    <row r="37">
      <c r="A37" t="inlineStr">
        <is>
          <t>IA-NOX-H2O</t>
        </is>
      </c>
      <c r="B37" t="inlineStr">
        <is>
          <t>NOX_SCRUB</t>
        </is>
      </c>
      <c r="C37" t="inlineStr">
        <is>
          <t>ROOF_TANK</t>
        </is>
      </c>
      <c r="D37" t="n">
        <v>221.48381</v>
      </c>
      <c r="E37" t="inlineStr">
        <is>
          <t>kg/d</t>
        </is>
      </c>
      <c r="F37" t="inlineStr">
        <is>
          <t>study</t>
        </is>
      </c>
    </row>
    <row r="38">
      <c r="A38" t="inlineStr">
        <is>
          <t>IA-NOX-HAB</t>
        </is>
      </c>
      <c r="B38" t="inlineStr">
        <is>
          <t>ROOF_TANK</t>
        </is>
      </c>
      <c r="C38" t="inlineStr">
        <is>
          <t>HABITATION</t>
        </is>
      </c>
      <c r="D38" t="n">
        <v>207.279999</v>
      </c>
      <c r="E38" t="inlineStr">
        <is>
          <t>kg/d</t>
        </is>
      </c>
      <c r="F38" t="inlineStr">
        <is>
          <t>study</t>
        </is>
      </c>
    </row>
    <row r="39">
      <c r="A39" t="inlineStr">
        <is>
          <t>IA-NUT-01</t>
        </is>
      </c>
      <c r="B39" t="inlineStr">
        <is>
          <t>NUTRIENT_DOSE</t>
        </is>
      </c>
      <c r="C39" t="inlineStr">
        <is>
          <t>VCD_TRAIN</t>
        </is>
      </c>
      <c r="D39" t="n">
        <v>13.930007</v>
      </c>
      <c r="E39" t="inlineStr">
        <is>
          <t>kg/d</t>
        </is>
      </c>
      <c r="F39" t="inlineStr">
        <is>
          <t>study</t>
        </is>
      </c>
    </row>
    <row r="40">
      <c r="A40" t="inlineStr">
        <is>
          <t>IA-PEROX-H2O</t>
        </is>
      </c>
      <c r="B40" t="inlineStr">
        <is>
          <t>ROOF_TANK</t>
        </is>
      </c>
      <c r="C40" t="inlineStr">
        <is>
          <t>WS_PEROX</t>
        </is>
      </c>
      <c r="D40" t="n">
        <v>2.824</v>
      </c>
      <c r="E40" t="inlineStr">
        <is>
          <t>kg/d</t>
        </is>
      </c>
      <c r="F40" t="inlineStr">
        <is>
          <t>study</t>
        </is>
      </c>
    </row>
    <row r="41">
      <c r="A41" t="inlineStr">
        <is>
          <t>IA-POL-01</t>
        </is>
      </c>
      <c r="B41" t="inlineStr">
        <is>
          <t>POLISH_BANK</t>
        </is>
      </c>
      <c r="C41" t="inlineStr">
        <is>
          <t>BMED_UPW_POLISH</t>
        </is>
      </c>
      <c r="F41" t="inlineStr">
        <is>
          <t>null</t>
        </is>
      </c>
    </row>
    <row r="42">
      <c r="A42" t="inlineStr">
        <is>
          <t>IA-POT-01</t>
        </is>
      </c>
      <c r="B42" t="inlineStr">
        <is>
          <t>REMIN</t>
        </is>
      </c>
      <c r="C42" t="inlineStr">
        <is>
          <t>ROOF_TANK</t>
        </is>
      </c>
      <c r="D42" t="n">
        <v>165.233063</v>
      </c>
      <c r="E42" t="inlineStr">
        <is>
          <t>kg/d</t>
        </is>
      </c>
      <c r="F42" t="inlineStr">
        <is>
          <t>study</t>
        </is>
      </c>
    </row>
    <row r="43">
      <c r="A43" t="inlineStr">
        <is>
          <t>IA-UPW-FAB</t>
        </is>
      </c>
      <c r="B43" t="inlineStr">
        <is>
          <t>BMED_UPW_POLISH</t>
        </is>
      </c>
      <c r="C43" t="inlineStr">
        <is>
          <t>FAB_UPW_TANK</t>
        </is>
      </c>
      <c r="D43" t="n">
        <v>60.000181</v>
      </c>
      <c r="E43" t="inlineStr">
        <is>
          <t>kg/d</t>
        </is>
      </c>
      <c r="F43" t="inlineStr">
        <is>
          <t>study</t>
        </is>
      </c>
    </row>
    <row r="44">
      <c r="A44" t="inlineStr">
        <is>
          <t>IA-UPW-HAB</t>
        </is>
      </c>
      <c r="B44" t="inlineStr">
        <is>
          <t>HDR_UPW</t>
        </is>
      </c>
      <c r="C44" t="inlineStr">
        <is>
          <t>HABITATION</t>
        </is>
      </c>
      <c r="D44" t="n">
        <v>0.800001</v>
      </c>
      <c r="E44" t="inlineStr">
        <is>
          <t>kg/d</t>
        </is>
      </c>
      <c r="F44" t="inlineStr">
        <is>
          <t>study</t>
        </is>
      </c>
    </row>
    <row r="45">
      <c r="A45" t="inlineStr">
        <is>
          <t>IA-UPW-REJ</t>
        </is>
      </c>
      <c r="B45" t="inlineStr">
        <is>
          <t>BMED_UPW_POLISH</t>
        </is>
      </c>
      <c r="C45" t="inlineStr">
        <is>
          <t>LEACH_CSTR_1</t>
        </is>
      </c>
      <c r="D45" t="n">
        <v>6.045005</v>
      </c>
      <c r="E45" t="inlineStr">
        <is>
          <t>kg/d</t>
        </is>
      </c>
      <c r="F45" t="inlineStr">
        <is>
          <t>study</t>
        </is>
      </c>
    </row>
    <row r="46">
      <c r="A46" t="inlineStr">
        <is>
          <t>IA-UPW-REMIN</t>
        </is>
      </c>
      <c r="B46" t="inlineStr">
        <is>
          <t>BMED_UPW_POLISH</t>
        </is>
      </c>
      <c r="C46" t="inlineStr">
        <is>
          <t>REMIN</t>
        </is>
      </c>
      <c r="D46" t="n">
        <v>175.233102</v>
      </c>
      <c r="E46" t="inlineStr">
        <is>
          <t>kg/d</t>
        </is>
      </c>
      <c r="F46" t="inlineStr">
        <is>
          <t>study</t>
        </is>
      </c>
    </row>
    <row r="47">
      <c r="A47" t="inlineStr">
        <is>
          <t>IA-UPW-USE</t>
        </is>
      </c>
      <c r="B47" t="inlineStr">
        <is>
          <t>HDR_UPW</t>
        </is>
      </c>
      <c r="C47" t="inlineStr">
        <is>
          <t>WAFER_FAB</t>
        </is>
      </c>
      <c r="D47" t="n">
        <v>66.500213</v>
      </c>
      <c r="E47" t="inlineStr">
        <is>
          <t>kg/d</t>
        </is>
      </c>
      <c r="F47" t="inlineStr">
        <is>
          <t>study</t>
        </is>
      </c>
    </row>
    <row r="48">
      <c r="A48" t="inlineStr">
        <is>
          <t>IA-URINE</t>
        </is>
      </c>
      <c r="B48" t="inlineStr">
        <is>
          <t>HABITATION</t>
        </is>
      </c>
      <c r="C48" t="inlineStr">
        <is>
          <t>BLACK_DIGEST</t>
        </is>
      </c>
      <c r="D48" t="n">
        <v>1.42</v>
      </c>
      <c r="E48" t="inlineStr">
        <is>
          <t>kg/d</t>
        </is>
      </c>
      <c r="F48" t="inlineStr">
        <is>
          <t>study</t>
        </is>
      </c>
    </row>
    <row r="49">
      <c r="A49" t="inlineStr">
        <is>
          <t>IA-VCD-BD</t>
        </is>
      </c>
      <c r="B49" t="inlineStr">
        <is>
          <t>VCD_TRAIN</t>
        </is>
      </c>
      <c r="C49" t="inlineStr">
        <is>
          <t>LEACH_CSTR_1</t>
        </is>
      </c>
      <c r="D49" t="n">
        <v>6.709424</v>
      </c>
      <c r="E49" t="inlineStr">
        <is>
          <t>kg/d</t>
        </is>
      </c>
      <c r="F49" t="inlineStr">
        <is>
          <t>study</t>
        </is>
      </c>
    </row>
    <row r="50">
      <c r="A50" t="inlineStr">
        <is>
          <t>IA-ZNBR-BD</t>
        </is>
      </c>
      <c r="B50" t="inlineStr">
        <is>
          <t>ZNBR2</t>
        </is>
      </c>
      <c r="C50" t="inlineStr">
        <is>
          <t>GREY_TREAT</t>
        </is>
      </c>
      <c r="D50" t="n">
        <v>8.486841</v>
      </c>
      <c r="E50" t="inlineStr">
        <is>
          <t>kg/d</t>
        </is>
      </c>
      <c r="F50" t="inlineStr">
        <is>
          <t>study</t>
        </is>
      </c>
    </row>
    <row r="51">
      <c r="A51" t="inlineStr">
        <is>
          <t>S01</t>
        </is>
      </c>
      <c r="B51" t="inlineStr">
        <is>
          <t>BMED_UPW_POLISH</t>
        </is>
      </c>
      <c r="C51" t="inlineStr">
        <is>
          <t>HDR_UPW</t>
        </is>
      </c>
      <c r="D51" t="n">
        <v>67.300214</v>
      </c>
      <c r="E51" t="inlineStr">
        <is>
          <t>kg/d</t>
        </is>
      </c>
      <c r="F51" t="inlineStr">
        <is>
          <t>study</t>
        </is>
      </c>
    </row>
    <row r="52">
      <c r="A52" t="inlineStr">
        <is>
          <t>S12</t>
        </is>
      </c>
      <c r="B52" t="inlineStr">
        <is>
          <t>HABITATION</t>
        </is>
      </c>
      <c r="C52" t="inlineStr">
        <is>
          <t>GREY_TREAT</t>
        </is>
      </c>
      <c r="D52" t="n">
        <v>319.60396</v>
      </c>
      <c r="E52" t="inlineStr">
        <is>
          <t>kg/d</t>
        </is>
      </c>
      <c r="F52" t="inlineStr">
        <is>
          <t>study</t>
        </is>
      </c>
    </row>
    <row r="53">
      <c r="A53" t="inlineStr">
        <is>
          <t>S13</t>
        </is>
      </c>
      <c r="B53" t="inlineStr">
        <is>
          <t>GROW_BED</t>
        </is>
      </c>
      <c r="C53" t="inlineStr">
        <is>
          <t>VCD_TRAIN</t>
        </is>
      </c>
      <c r="D53" t="n">
        <v>3.799494</v>
      </c>
      <c r="E53" t="inlineStr">
        <is>
          <t>kg/d</t>
        </is>
      </c>
      <c r="F53" t="inlineStr">
        <is>
          <t>study</t>
        </is>
      </c>
    </row>
    <row r="54">
      <c r="A54" t="inlineStr">
        <is>
          <t>S21</t>
        </is>
      </c>
      <c r="B54" t="inlineStr">
        <is>
          <t>ROOF_TANK</t>
        </is>
      </c>
      <c r="C54" t="inlineStr">
        <is>
          <t>HABITATION</t>
        </is>
      </c>
      <c r="D54" t="n">
        <v>120.68</v>
      </c>
      <c r="E54" t="inlineStr">
        <is>
          <t>kg/d</t>
        </is>
      </c>
      <c r="F54" t="inlineStr">
        <is>
          <t>study</t>
        </is>
      </c>
    </row>
    <row r="55">
      <c r="A55" t="inlineStr">
        <is>
          <t>S22</t>
        </is>
      </c>
      <c r="B55" t="inlineStr">
        <is>
          <t>ROOF_TANK</t>
        </is>
      </c>
      <c r="C55" t="inlineStr">
        <is>
          <t>CATCH_TANK</t>
        </is>
      </c>
      <c r="D55" t="n">
        <v>0</v>
      </c>
      <c r="E55" t="inlineStr">
        <is>
          <t>kg/d</t>
        </is>
      </c>
      <c r="F55" t="inlineStr">
        <is>
          <t>study</t>
        </is>
      </c>
    </row>
    <row r="56">
      <c r="A56" t="inlineStr">
        <is>
          <t>S23</t>
        </is>
      </c>
      <c r="B56" t="inlineStr">
        <is>
          <t>CATCH_TANK</t>
        </is>
      </c>
      <c r="C56" t="inlineStr">
        <is>
          <t>ROOF_TANK</t>
        </is>
      </c>
      <c r="D56" t="n">
        <v>0</v>
      </c>
      <c r="E56" t="inlineStr">
        <is>
          <t>kg/d</t>
        </is>
      </c>
      <c r="F56" t="inlineStr">
        <is>
          <t>study</t>
        </is>
      </c>
    </row>
    <row r="57">
      <c r="A57" t="inlineStr">
        <is>
          <t>S25</t>
        </is>
      </c>
      <c r="B57" t="inlineStr">
        <is>
          <t>VCD_TRAIN</t>
        </is>
      </c>
      <c r="C57" t="inlineStr">
        <is>
          <t>BMED_UPW_POLISH</t>
        </is>
      </c>
      <c r="D57" t="n">
        <v>308.578502</v>
      </c>
      <c r="E57" t="inlineStr">
        <is>
          <t>kg/d</t>
        </is>
      </c>
      <c r="F57" t="inlineStr">
        <is>
          <t>study</t>
        </is>
      </c>
    </row>
    <row r="58">
      <c r="A58" t="inlineStr">
        <is>
          <t>S26</t>
        </is>
      </c>
      <c r="B58" t="inlineStr">
        <is>
          <t>REMIN</t>
        </is>
      </c>
      <c r="C58" t="inlineStr">
        <is>
          <t>HABITATION</t>
        </is>
      </c>
      <c r="D58" t="n">
        <v>10</v>
      </c>
      <c r="E58" t="inlineStr">
        <is>
          <t>kg/d</t>
        </is>
      </c>
      <c r="F58" t="inlineStr">
        <is>
          <t>study</t>
        </is>
      </c>
    </row>
    <row r="59">
      <c r="A59" t="inlineStr">
        <is>
          <t>S28</t>
        </is>
      </c>
      <c r="B59" t="inlineStr">
        <is>
          <t>VCD_TRAIN</t>
        </is>
      </c>
      <c r="C59" t="inlineStr">
        <is>
          <t>LEACH_CSTR_1</t>
        </is>
      </c>
      <c r="D59" t="n">
        <v>17.877059</v>
      </c>
      <c r="E59" t="inlineStr">
        <is>
          <t>kg/d</t>
        </is>
      </c>
      <c r="F59" t="inlineStr">
        <is>
          <t>study</t>
        </is>
      </c>
    </row>
    <row r="60">
      <c r="A60" t="inlineStr">
        <is>
          <t>S29</t>
        </is>
      </c>
      <c r="B60" t="inlineStr">
        <is>
          <t>GREY_TREAT</t>
        </is>
      </c>
      <c r="C60" t="inlineStr">
        <is>
          <t>VCD_TRAIN</t>
        </is>
      </c>
      <c r="D60" t="n">
        <v>104.499999</v>
      </c>
      <c r="E60" t="inlineStr">
        <is>
          <t>kg/d</t>
        </is>
      </c>
      <c r="F60" t="inlineStr">
        <is>
          <t>study</t>
        </is>
      </c>
    </row>
    <row r="61">
      <c r="A61" t="inlineStr">
        <is>
          <t>S30</t>
        </is>
      </c>
      <c r="B61" t="inlineStr">
        <is>
          <t>BLACK_DIGEST</t>
        </is>
      </c>
      <c r="C61" t="inlineStr">
        <is>
          <t>NUTRIENT_DOSE</t>
        </is>
      </c>
      <c r="F61" t="inlineStr">
        <is>
          <t>null</t>
        </is>
      </c>
    </row>
    <row r="62">
      <c r="A62" t="inlineStr">
        <is>
          <t>S52</t>
        </is>
      </c>
      <c r="B62" t="inlineStr">
        <is>
          <t>FUEL_CELL</t>
        </is>
      </c>
      <c r="C62" t="inlineStr">
        <is>
          <t>VCD_TRAIN</t>
        </is>
      </c>
      <c r="D62" t="n">
        <v>42.876623</v>
      </c>
      <c r="E62" t="inlineStr">
        <is>
          <t>kg/d</t>
        </is>
      </c>
      <c r="F62" t="inlineStr">
        <is>
          <t>study</t>
        </is>
      </c>
    </row>
    <row r="63">
      <c r="A63" t="inlineStr">
        <is>
          <t>SF-BLACK_DIGEST</t>
        </is>
      </c>
      <c r="B63" t="inlineStr">
        <is>
          <t>SOL_ARK_60K</t>
        </is>
      </c>
      <c r="C63" t="inlineStr">
        <is>
          <t>BLACK_DIGEST</t>
        </is>
      </c>
      <c r="D63" t="n">
        <v>0.1052</v>
      </c>
      <c r="E63" t="inlineStr">
        <is>
          <t>kW</t>
        </is>
      </c>
      <c r="F63" t="inlineStr">
        <is>
          <t>study</t>
        </is>
      </c>
    </row>
    <row r="64">
      <c r="A64" t="inlineStr">
        <is>
          <t>SF-BMED_UPW_POLISH</t>
        </is>
      </c>
      <c r="B64" t="inlineStr">
        <is>
          <t>SOL_ARK_60K</t>
        </is>
      </c>
      <c r="C64" t="inlineStr">
        <is>
          <t>BMED_UPW_POLISH</t>
        </is>
      </c>
      <c r="D64" t="n">
        <v>0.018</v>
      </c>
      <c r="E64" t="inlineStr">
        <is>
          <t>kW</t>
        </is>
      </c>
      <c r="F64" t="inlineStr">
        <is>
          <t>study</t>
        </is>
      </c>
    </row>
    <row r="65">
      <c r="A65" t="inlineStr">
        <is>
          <t>UPW_TO_FAB</t>
        </is>
      </c>
      <c r="B65" t="inlineStr">
        <is>
          <t>HDR_UPW</t>
        </is>
      </c>
      <c r="C65" t="inlineStr">
        <is>
          <t>FAB_UPW_TANK</t>
        </is>
      </c>
      <c r="F65" t="inlineStr">
        <is>
          <t>null</t>
        </is>
      </c>
    </row>
  </sheetData>
  <autoFilter ref="A1:H9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8" customWidth="1" min="3" max="3"/>
    <col width="10" customWidth="1" min="4" max="4"/>
    <col width="12" customWidth="1" min="5" max="5"/>
    <col width="16" customWidth="1" min="6" max="6"/>
    <col width="9" customWidth="1" min="7" max="7"/>
    <col width="13" customWidth="1" min="8" max="8"/>
  </cols>
  <sheetData>
    <row r="1">
      <c r="A1" s="3" t="inlineStr">
        <is>
          <t>unit_id</t>
        </is>
      </c>
      <c r="B1" s="3" t="inlineStr">
        <is>
          <t>continuous_kw</t>
        </is>
      </c>
      <c r="C1" s="3" t="inlineStr">
        <is>
          <t>kw_unit</t>
        </is>
      </c>
      <c r="D1" s="3" t="inlineStr">
        <is>
          <t>kw_status</t>
        </is>
      </c>
      <c r="E1" s="3" t="inlineStr">
        <is>
          <t>presence</t>
        </is>
      </c>
      <c r="F1" s="3" t="inlineStr">
        <is>
          <t>class</t>
        </is>
      </c>
      <c r="G1" s="3" t="inlineStr">
        <is>
          <t>enabled</t>
        </is>
      </c>
      <c r="H1" s="3" t="inlineStr">
        <is>
          <t>graph_sector</t>
        </is>
      </c>
    </row>
    <row r="2">
      <c r="A2" t="inlineStr">
        <is>
          <t>BACKUP_GEN</t>
        </is>
      </c>
      <c r="B2" s="8" t="n">
        <v>0.008200000000000001</v>
      </c>
      <c r="C2" t="inlineStr">
        <is>
          <t>kW</t>
        </is>
      </c>
      <c r="D2" t="inlineStr">
        <is>
          <t>study</t>
        </is>
      </c>
      <c r="E2" t="inlineStr">
        <is>
          <t>present</t>
        </is>
      </c>
      <c r="F2" t="inlineStr">
        <is>
          <t>genset</t>
        </is>
      </c>
      <c r="G2" t="b">
        <v>1</v>
      </c>
      <c r="H2" t="inlineStr">
        <is>
          <t>ELEC</t>
        </is>
      </c>
    </row>
    <row r="3">
      <c r="A3" t="inlineStr">
        <is>
          <t>EXT_HALL</t>
        </is>
      </c>
      <c r="B3" s="8" t="n">
        <v>68.2838</v>
      </c>
      <c r="C3" t="inlineStr">
        <is>
          <t>kW</t>
        </is>
      </c>
      <c r="D3" t="inlineStr">
        <is>
          <t>study</t>
        </is>
      </c>
      <c r="E3" t="inlineStr">
        <is>
          <t>present</t>
        </is>
      </c>
      <c r="F3" t="inlineStr">
        <is>
          <t>building</t>
        </is>
      </c>
      <c r="G3" t="b">
        <v>1</v>
      </c>
      <c r="H3" t="inlineStr">
        <is>
          <t>ELEC</t>
        </is>
      </c>
    </row>
    <row r="4">
      <c r="A4" t="inlineStr">
        <is>
          <t>FUEL_CELL</t>
        </is>
      </c>
      <c r="B4" s="8" t="n">
        <v>4</v>
      </c>
      <c r="C4" t="inlineStr">
        <is>
          <t>kW</t>
        </is>
      </c>
      <c r="D4" t="inlineStr">
        <is>
          <t>study</t>
        </is>
      </c>
      <c r="E4" t="inlineStr">
        <is>
          <t>present</t>
        </is>
      </c>
      <c r="F4" t="inlineStr">
        <is>
          <t>pem_fc</t>
        </is>
      </c>
      <c r="G4" t="b">
        <v>1</v>
      </c>
      <c r="H4" t="inlineStr">
        <is>
          <t>ELEC</t>
        </is>
      </c>
    </row>
    <row r="5">
      <c r="A5" t="inlineStr">
        <is>
          <t>LOAD_AGG</t>
        </is>
      </c>
      <c r="E5" t="inlineStr">
        <is>
          <t>present</t>
        </is>
      </c>
      <c r="F5" t="inlineStr">
        <is>
          <t>load_agg</t>
        </is>
      </c>
      <c r="G5" t="b">
        <v>1</v>
      </c>
      <c r="H5" t="inlineStr">
        <is>
          <t>ELEC</t>
        </is>
      </c>
    </row>
    <row r="6">
      <c r="A6" t="inlineStr">
        <is>
          <t>PV_ARRAY</t>
        </is>
      </c>
      <c r="B6" s="8" t="n">
        <v>336.7016</v>
      </c>
      <c r="C6" t="inlineStr">
        <is>
          <t>kW</t>
        </is>
      </c>
      <c r="D6" t="inlineStr">
        <is>
          <t>study</t>
        </is>
      </c>
      <c r="E6" t="inlineStr">
        <is>
          <t>present</t>
        </is>
      </c>
      <c r="F6" t="inlineStr">
        <is>
          <t>pv</t>
        </is>
      </c>
      <c r="G6" t="b">
        <v>1</v>
      </c>
      <c r="H6" t="inlineStr">
        <is>
          <t>ELEC</t>
        </is>
      </c>
    </row>
    <row r="7">
      <c r="A7" t="inlineStr">
        <is>
          <t>RECTIFIER</t>
        </is>
      </c>
      <c r="B7" s="8" t="n">
        <v>12</v>
      </c>
      <c r="C7" t="inlineStr">
        <is>
          <t>kW</t>
        </is>
      </c>
      <c r="D7" t="inlineStr">
        <is>
          <t>study</t>
        </is>
      </c>
      <c r="E7" t="inlineStr">
        <is>
          <t>present</t>
        </is>
      </c>
      <c r="F7" t="inlineStr">
        <is>
          <t>rectifier</t>
        </is>
      </c>
      <c r="G7" t="b">
        <v>1</v>
      </c>
      <c r="H7" t="inlineStr">
        <is>
          <t>ELEC</t>
        </is>
      </c>
    </row>
    <row r="8">
      <c r="A8" t="inlineStr">
        <is>
          <t>SOL_ARK_60K</t>
        </is>
      </c>
      <c r="E8" t="inlineStr">
        <is>
          <t>present</t>
        </is>
      </c>
      <c r="F8" t="inlineStr">
        <is>
          <t>inverter</t>
        </is>
      </c>
      <c r="G8" t="b">
        <v>1</v>
      </c>
      <c r="H8" t="inlineStr">
        <is>
          <t>ELEC</t>
        </is>
      </c>
    </row>
    <row r="9">
      <c r="A9" t="inlineStr">
        <is>
          <t>ZNBR2</t>
        </is>
      </c>
      <c r="B9" s="8" t="n">
        <v>179.6238</v>
      </c>
      <c r="C9" t="inlineStr">
        <is>
          <t>kW</t>
        </is>
      </c>
      <c r="D9" t="inlineStr">
        <is>
          <t>study</t>
        </is>
      </c>
      <c r="E9" t="inlineStr">
        <is>
          <t>present</t>
        </is>
      </c>
      <c r="F9" t="inlineStr">
        <is>
          <t>flow_battery</t>
        </is>
      </c>
      <c r="G9" t="b">
        <v>1</v>
      </c>
      <c r="H9" t="inlineStr">
        <is>
          <t>ELEC</t>
        </is>
      </c>
    </row>
    <row r="10">
      <c r="A10" t="inlineStr">
        <is>
          <t>ZNBR2_BR2_REGEN</t>
        </is>
      </c>
      <c r="E10" t="inlineStr">
        <is>
          <t>present</t>
        </is>
      </c>
      <c r="F10" t="inlineStr">
        <is>
          <t>scrubber</t>
        </is>
      </c>
      <c r="G10" t="b">
        <v>1</v>
      </c>
      <c r="H10" t="inlineStr">
        <is>
          <t>ELEC</t>
        </is>
      </c>
    </row>
    <row r="12">
      <c r="A12" s="1" t="inlineStr">
        <is>
          <t>SUBTOTAL continuous kW (SUM)</t>
        </is>
      </c>
      <c r="B12" s="10">
        <f>SUM(B2:B10)</f>
        <v/>
      </c>
    </row>
    <row r="14">
      <c r="A14" s="9" t="inlineStr">
        <is>
          <t>EDGES TOUCHING THIS SECTOR (from or to)</t>
        </is>
      </c>
    </row>
    <row r="15">
      <c r="A15" s="3" t="inlineStr">
        <is>
          <t>stream_id</t>
        </is>
      </c>
      <c r="B15" s="3" t="inlineStr">
        <is>
          <t>from_unit</t>
        </is>
      </c>
      <c r="C15" s="3" t="inlineStr">
        <is>
          <t>to_unit</t>
        </is>
      </c>
      <c r="D15" s="3" t="inlineStr">
        <is>
          <t>rate</t>
        </is>
      </c>
      <c r="E15" s="3" t="inlineStr">
        <is>
          <t>unit</t>
        </is>
      </c>
      <c r="F15" s="3" t="inlineStr">
        <is>
          <t>status</t>
        </is>
      </c>
    </row>
    <row r="16">
      <c r="A16" t="inlineStr">
        <is>
          <t>CUT-1-OUT</t>
        </is>
      </c>
      <c r="B16" t="inlineStr">
        <is>
          <t>PROD_C5_C10</t>
        </is>
      </c>
      <c r="C16" t="inlineStr">
        <is>
          <t>BACKUP_GEN</t>
        </is>
      </c>
      <c r="D16" t="n">
        <v>0.053896</v>
      </c>
      <c r="E16" t="inlineStr">
        <is>
          <t>kg/d</t>
        </is>
      </c>
      <c r="F16" t="inlineStr">
        <is>
          <t>study</t>
        </is>
      </c>
    </row>
    <row r="17">
      <c r="A17" t="inlineStr">
        <is>
          <t>IA-DC-EW_1</t>
        </is>
      </c>
      <c r="B17" t="inlineStr">
        <is>
          <t>RECTIFIER</t>
        </is>
      </c>
      <c r="C17" t="inlineStr">
        <is>
          <t>EW_1</t>
        </is>
      </c>
      <c r="D17" t="n">
        <v>5.9909</v>
      </c>
      <c r="E17" t="inlineStr">
        <is>
          <t>kW</t>
        </is>
      </c>
      <c r="F17" t="inlineStr">
        <is>
          <t>study</t>
        </is>
      </c>
    </row>
    <row r="18">
      <c r="A18" t="inlineStr">
        <is>
          <t>IA-DC-EW_2</t>
        </is>
      </c>
      <c r="B18" t="inlineStr">
        <is>
          <t>RECTIFIER</t>
        </is>
      </c>
      <c r="C18" t="inlineStr">
        <is>
          <t>EW_2</t>
        </is>
      </c>
      <c r="D18" t="n">
        <v>5.9929</v>
      </c>
      <c r="E18" t="inlineStr">
        <is>
          <t>kW</t>
        </is>
      </c>
      <c r="F18" t="inlineStr">
        <is>
          <t>study</t>
        </is>
      </c>
    </row>
    <row r="19">
      <c r="A19" t="inlineStr">
        <is>
          <t>IA-DC-EW_3</t>
        </is>
      </c>
      <c r="B19" t="inlineStr">
        <is>
          <t>RECTIFIER</t>
        </is>
      </c>
      <c r="C19" t="inlineStr">
        <is>
          <t>EW_3</t>
        </is>
      </c>
      <c r="D19" t="n">
        <v>2.2495</v>
      </c>
      <c r="E19" t="inlineStr">
        <is>
          <t>kW</t>
        </is>
      </c>
      <c r="F19" t="inlineStr">
        <is>
          <t>study</t>
        </is>
      </c>
    </row>
    <row r="20">
      <c r="A20" t="inlineStr">
        <is>
          <t>IA-DC-EW_4</t>
        </is>
      </c>
      <c r="B20" t="inlineStr">
        <is>
          <t>RECTIFIER</t>
        </is>
      </c>
      <c r="C20" t="inlineStr">
        <is>
          <t>EW_4</t>
        </is>
      </c>
      <c r="D20" t="n">
        <v>0.4853</v>
      </c>
      <c r="E20" t="inlineStr">
        <is>
          <t>kW</t>
        </is>
      </c>
      <c r="F20" t="inlineStr">
        <is>
          <t>study</t>
        </is>
      </c>
    </row>
    <row r="21">
      <c r="A21" t="inlineStr">
        <is>
          <t>IA-DC-EW_5</t>
        </is>
      </c>
      <c r="B21" t="inlineStr">
        <is>
          <t>RECTIFIER</t>
        </is>
      </c>
      <c r="C21" t="inlineStr">
        <is>
          <t>EW_5</t>
        </is>
      </c>
      <c r="D21" t="n">
        <v>0.5024</v>
      </c>
      <c r="E21" t="inlineStr">
        <is>
          <t>kW</t>
        </is>
      </c>
      <c r="F21" t="inlineStr">
        <is>
          <t>study</t>
        </is>
      </c>
    </row>
    <row r="22">
      <c r="A22" t="inlineStr">
        <is>
          <t>IA-DC-EW_6</t>
        </is>
      </c>
      <c r="B22" t="inlineStr">
        <is>
          <t>RECTIFIER</t>
        </is>
      </c>
      <c r="C22" t="inlineStr">
        <is>
          <t>EW_6</t>
        </is>
      </c>
      <c r="D22" t="n">
        <v>0.5474</v>
      </c>
      <c r="E22" t="inlineStr">
        <is>
          <t>kW</t>
        </is>
      </c>
      <c r="F22" t="inlineStr">
        <is>
          <t>study</t>
        </is>
      </c>
    </row>
    <row r="23">
      <c r="A23" t="inlineStr">
        <is>
          <t>IA-DC-EW_7</t>
        </is>
      </c>
      <c r="B23" t="inlineStr">
        <is>
          <t>RECTIFIER</t>
        </is>
      </c>
      <c r="C23" t="inlineStr">
        <is>
          <t>EW_7</t>
        </is>
      </c>
      <c r="D23" t="n">
        <v>7.1187</v>
      </c>
      <c r="E23" t="inlineStr">
        <is>
          <t>kW</t>
        </is>
      </c>
      <c r="F23" t="inlineStr">
        <is>
          <t>study</t>
        </is>
      </c>
    </row>
    <row r="24">
      <c r="A24" t="inlineStr">
        <is>
          <t>IA-DC-EW_8</t>
        </is>
      </c>
      <c r="B24" t="inlineStr">
        <is>
          <t>RECTIFIER</t>
        </is>
      </c>
      <c r="C24" t="inlineStr">
        <is>
          <t>EW_8</t>
        </is>
      </c>
      <c r="D24" t="n">
        <v>0.5054</v>
      </c>
      <c r="E24" t="inlineStr">
        <is>
          <t>kW</t>
        </is>
      </c>
      <c r="F24" t="inlineStr">
        <is>
          <t>study</t>
        </is>
      </c>
    </row>
    <row r="25">
      <c r="A25" t="inlineStr">
        <is>
          <t>IA-DC-EW_9</t>
        </is>
      </c>
      <c r="B25" t="inlineStr">
        <is>
          <t>RECTIFIER</t>
        </is>
      </c>
      <c r="C25" t="inlineStr">
        <is>
          <t>EW_9</t>
        </is>
      </c>
      <c r="D25" t="n">
        <v>7.538</v>
      </c>
      <c r="E25" t="inlineStr">
        <is>
          <t>kW</t>
        </is>
      </c>
      <c r="F25" t="inlineStr">
        <is>
          <t>study</t>
        </is>
      </c>
    </row>
    <row r="26">
      <c r="A26" t="inlineStr">
        <is>
          <t>IA-ESS-HYDRO-ELEC</t>
        </is>
      </c>
      <c r="B26" t="inlineStr">
        <is>
          <t>HYDRO_SET</t>
        </is>
      </c>
      <c r="C26" t="inlineStr">
        <is>
          <t>SOL_ARK_60K</t>
        </is>
      </c>
      <c r="D26" t="n">
        <v>0</v>
      </c>
      <c r="E26" t="inlineStr">
        <is>
          <t>kW</t>
        </is>
      </c>
      <c r="F26" t="inlineStr">
        <is>
          <t>study</t>
        </is>
      </c>
    </row>
    <row r="27">
      <c r="A27" t="inlineStr">
        <is>
          <t>IA-ESS-MEOH-DIS</t>
        </is>
      </c>
      <c r="B27" t="inlineStr">
        <is>
          <t>MEOH_FC</t>
        </is>
      </c>
      <c r="C27" t="inlineStr">
        <is>
          <t>SOL_ARK_60K</t>
        </is>
      </c>
      <c r="F27" t="inlineStr">
        <is>
          <t>null</t>
        </is>
      </c>
    </row>
    <row r="28">
      <c r="A28" t="inlineStr">
        <is>
          <t>IA-ESS-ZNBR2-CHG</t>
        </is>
      </c>
      <c r="B28" t="inlineStr">
        <is>
          <t>SOL_ARK_60K</t>
        </is>
      </c>
      <c r="C28" t="inlineStr">
        <is>
          <t>ZNBR2</t>
        </is>
      </c>
      <c r="D28" t="n">
        <v>6.6667</v>
      </c>
      <c r="E28" t="inlineStr">
        <is>
          <t>kW</t>
        </is>
      </c>
      <c r="F28" t="inlineStr">
        <is>
          <t>study</t>
        </is>
      </c>
    </row>
    <row r="29">
      <c r="A29" t="inlineStr">
        <is>
          <t>IA-ESS-ZNBR2-DIS</t>
        </is>
      </c>
      <c r="B29" t="inlineStr">
        <is>
          <t>ZNBR2</t>
        </is>
      </c>
      <c r="C29" t="inlineStr">
        <is>
          <t>SOL_ARK_60K</t>
        </is>
      </c>
      <c r="D29" t="n">
        <v>5</v>
      </c>
      <c r="E29" t="inlineStr">
        <is>
          <t>kW</t>
        </is>
      </c>
      <c r="F29" t="inlineStr">
        <is>
          <t>study</t>
        </is>
      </c>
    </row>
    <row r="30">
      <c r="A30" t="inlineStr">
        <is>
          <t>IA-ESS-ZNBR2-SRC</t>
        </is>
      </c>
      <c r="B30" t="inlineStr">
        <is>
          <t>PV_ARRAY</t>
        </is>
      </c>
      <c r="C30" t="inlineStr">
        <is>
          <t>SOL_ARK_60K</t>
        </is>
      </c>
      <c r="D30" t="n">
        <v>1.6667</v>
      </c>
      <c r="E30" t="inlineStr">
        <is>
          <t>kW</t>
        </is>
      </c>
      <c r="F30" t="inlineStr">
        <is>
          <t>study</t>
        </is>
      </c>
    </row>
    <row r="31">
      <c r="A31" t="inlineStr">
        <is>
          <t>IA-FC-FIX</t>
        </is>
      </c>
      <c r="B31" t="inlineStr">
        <is>
          <t>FUEL_CELL</t>
        </is>
      </c>
      <c r="C31" t="inlineStr">
        <is>
          <t>NOX_SCRUB</t>
        </is>
      </c>
      <c r="D31" t="n">
        <v>0</v>
      </c>
      <c r="E31" t="inlineStr">
        <is>
          <t>kg/d</t>
        </is>
      </c>
      <c r="F31" t="inlineStr">
        <is>
          <t>study</t>
        </is>
      </c>
    </row>
    <row r="32">
      <c r="A32" t="inlineStr">
        <is>
          <t>IA-FC-LEACH</t>
        </is>
      </c>
      <c r="B32" t="inlineStr">
        <is>
          <t>FUEL_CELL</t>
        </is>
      </c>
      <c r="C32" t="inlineStr">
        <is>
          <t>LEACH_CSTR_1</t>
        </is>
      </c>
      <c r="D32" t="n">
        <v>0.323377</v>
      </c>
      <c r="E32" t="inlineStr">
        <is>
          <t>kg/d</t>
        </is>
      </c>
      <c r="F32" t="inlineStr">
        <is>
          <t>study</t>
        </is>
      </c>
    </row>
    <row r="33">
      <c r="A33" t="inlineStr">
        <is>
          <t>IA-GEN-AIR</t>
        </is>
      </c>
      <c r="B33" t="inlineStr">
        <is>
          <t>HDR_N2</t>
        </is>
      </c>
      <c r="C33" t="inlineStr">
        <is>
          <t>BACKUP_GEN</t>
        </is>
      </c>
      <c r="D33" t="n">
        <v>0.006137</v>
      </c>
      <c r="E33" t="inlineStr">
        <is>
          <t>kg/d</t>
        </is>
      </c>
      <c r="F33" t="inlineStr">
        <is>
          <t>study</t>
        </is>
      </c>
    </row>
    <row r="34">
      <c r="A34" t="inlineStr">
        <is>
          <t>IA-GEN-O2</t>
        </is>
      </c>
      <c r="B34" t="inlineStr">
        <is>
          <t>HDR_O2</t>
        </is>
      </c>
      <c r="C34" t="inlineStr">
        <is>
          <t>BACKUP_GEN</t>
        </is>
      </c>
      <c r="D34" t="n">
        <v>0.207942</v>
      </c>
      <c r="E34" t="inlineStr">
        <is>
          <t>kg/d</t>
        </is>
      </c>
      <c r="F34" t="inlineStr">
        <is>
          <t>study</t>
        </is>
      </c>
    </row>
    <row r="35">
      <c r="A35" t="inlineStr">
        <is>
          <t>IA-PV-01</t>
        </is>
      </c>
      <c r="B35" t="inlineStr">
        <is>
          <t>PV_ARRAY</t>
        </is>
      </c>
      <c r="C35" t="inlineStr">
        <is>
          <t>SOL_ARK_60K</t>
        </is>
      </c>
      <c r="D35" t="n">
        <v>336.7016</v>
      </c>
      <c r="E35" t="inlineStr">
        <is>
          <t>kW</t>
        </is>
      </c>
      <c r="F35" t="inlineStr">
        <is>
          <t>study</t>
        </is>
      </c>
    </row>
    <row r="36">
      <c r="A36" t="inlineStr">
        <is>
          <t>IA-PV-CURTAIL</t>
        </is>
      </c>
      <c r="B36" t="inlineStr">
        <is>
          <t>SOL_ARK_60K</t>
        </is>
      </c>
      <c r="C36" t="inlineStr">
        <is>
          <t>BOUNDARY_EXPORT</t>
        </is>
      </c>
      <c r="D36" t="n">
        <v>4.645</v>
      </c>
      <c r="E36" t="inlineStr">
        <is>
          <t>kW</t>
        </is>
      </c>
      <c r="F36" t="inlineStr">
        <is>
          <t>study</t>
        </is>
      </c>
    </row>
    <row r="37">
      <c r="A37" t="inlineStr">
        <is>
          <t>IA-Q4A-TRIM</t>
        </is>
      </c>
      <c r="B37" t="inlineStr">
        <is>
          <t>RECTIFIER</t>
        </is>
      </c>
      <c r="C37" t="inlineStr">
        <is>
          <t>Q4_A</t>
        </is>
      </c>
      <c r="D37" t="n">
        <v>1.61</v>
      </c>
      <c r="E37" t="inlineStr">
        <is>
          <t>kW</t>
        </is>
      </c>
      <c r="F37" t="inlineStr">
        <is>
          <t>study</t>
        </is>
      </c>
    </row>
    <row r="38">
      <c r="A38" t="inlineStr">
        <is>
          <t>IA-Q4B-TRIM</t>
        </is>
      </c>
      <c r="B38" t="inlineStr">
        <is>
          <t>RECTIFIER</t>
        </is>
      </c>
      <c r="C38" t="inlineStr">
        <is>
          <t>Q4_B</t>
        </is>
      </c>
      <c r="D38" t="n">
        <v>1.61</v>
      </c>
      <c r="E38" t="inlineStr">
        <is>
          <t>kW</t>
        </is>
      </c>
      <c r="F38" t="inlineStr">
        <is>
          <t>study</t>
        </is>
      </c>
    </row>
    <row r="39">
      <c r="A39" t="inlineStr">
        <is>
          <t>IA-RECT-Q4</t>
        </is>
      </c>
      <c r="B39" t="inlineStr">
        <is>
          <t>RECTIFIER</t>
        </is>
      </c>
      <c r="C39" t="inlineStr">
        <is>
          <t>Q4_BUS</t>
        </is>
      </c>
      <c r="D39" t="n">
        <v>1</v>
      </c>
      <c r="E39" t="inlineStr">
        <is>
          <t>kW</t>
        </is>
      </c>
      <c r="F39" t="inlineStr">
        <is>
          <t>study</t>
        </is>
      </c>
    </row>
    <row r="40">
      <c r="A40" t="inlineStr">
        <is>
          <t>IA-TRIM-HX5</t>
        </is>
      </c>
      <c r="B40" t="inlineStr">
        <is>
          <t>RECTIFIER</t>
        </is>
      </c>
      <c r="C40" t="inlineStr">
        <is>
          <t>LEACH_CSTR_1</t>
        </is>
      </c>
      <c r="D40" t="n">
        <v>15.882</v>
      </c>
      <c r="E40" t="inlineStr">
        <is>
          <t>kW</t>
        </is>
      </c>
      <c r="F40" t="inlineStr">
        <is>
          <t>study</t>
        </is>
      </c>
    </row>
    <row r="41">
      <c r="A41" t="inlineStr">
        <is>
          <t>IA-TRIM-HX6</t>
        </is>
      </c>
      <c r="B41" t="inlineStr">
        <is>
          <t>RECTIFIER</t>
        </is>
      </c>
      <c r="C41" t="inlineStr">
        <is>
          <t>GLASS_DIGEST</t>
        </is>
      </c>
      <c r="D41" t="n">
        <v>4.158</v>
      </c>
      <c r="E41" t="inlineStr">
        <is>
          <t>kW</t>
        </is>
      </c>
      <c r="F41" t="inlineStr">
        <is>
          <t>study</t>
        </is>
      </c>
    </row>
    <row r="42">
      <c r="A42" t="inlineStr">
        <is>
          <t>IA-ZNBR-BD</t>
        </is>
      </c>
      <c r="B42" t="inlineStr">
        <is>
          <t>ZNBR2</t>
        </is>
      </c>
      <c r="C42" t="inlineStr">
        <is>
          <t>GREY_TREAT</t>
        </is>
      </c>
      <c r="D42" t="n">
        <v>8.486841</v>
      </c>
      <c r="E42" t="inlineStr">
        <is>
          <t>kg/d</t>
        </is>
      </c>
      <c r="F42" t="inlineStr">
        <is>
          <t>study</t>
        </is>
      </c>
    </row>
    <row r="43">
      <c r="A43" t="inlineStr">
        <is>
          <t>IA-ZNBR-HEAT</t>
        </is>
      </c>
      <c r="B43" t="inlineStr">
        <is>
          <t>ZNBR2</t>
        </is>
      </c>
      <c r="C43" t="inlineStr">
        <is>
          <t>Q4_BUS</t>
        </is>
      </c>
      <c r="D43" t="n">
        <v>1.67</v>
      </c>
      <c r="E43" t="inlineStr">
        <is>
          <t>kW</t>
        </is>
      </c>
      <c r="F43" t="inlineStr">
        <is>
          <t>study</t>
        </is>
      </c>
    </row>
    <row r="44">
      <c r="A44" t="inlineStr">
        <is>
          <t>IA-ZNBR-LOSS</t>
        </is>
      </c>
      <c r="B44" t="inlineStr">
        <is>
          <t>ZNBR2</t>
        </is>
      </c>
      <c r="C44" t="inlineStr">
        <is>
          <t>BOUNDARY_EXPORT</t>
        </is>
      </c>
      <c r="D44" t="n">
        <v>1.67</v>
      </c>
      <c r="E44" t="inlineStr">
        <is>
          <t>kW</t>
        </is>
      </c>
      <c r="F44" t="inlineStr">
        <is>
          <t>study</t>
        </is>
      </c>
    </row>
    <row r="45">
      <c r="A45" t="inlineStr">
        <is>
          <t>IA-ZNBR-MU</t>
        </is>
      </c>
      <c r="B45" t="inlineStr">
        <is>
          <t>LEACH_CSTR_1</t>
        </is>
      </c>
      <c r="C45" t="inlineStr">
        <is>
          <t>ZNBR2</t>
        </is>
      </c>
      <c r="D45" t="n">
        <v>8.486482000000001</v>
      </c>
      <c r="E45" t="inlineStr">
        <is>
          <t>kg/d</t>
        </is>
      </c>
      <c r="F45" t="inlineStr">
        <is>
          <t>study</t>
        </is>
      </c>
    </row>
    <row r="46">
      <c r="A46" t="inlineStr">
        <is>
          <t>S17</t>
        </is>
      </c>
      <c r="B46" t="inlineStr">
        <is>
          <t>SOL_ARK_60K</t>
        </is>
      </c>
      <c r="C46" t="inlineStr">
        <is>
          <t>RECTIFIER</t>
        </is>
      </c>
      <c r="D46" t="n">
        <v>12</v>
      </c>
      <c r="E46" t="inlineStr">
        <is>
          <t>kW</t>
        </is>
      </c>
      <c r="F46" t="inlineStr">
        <is>
          <t>study</t>
        </is>
      </c>
    </row>
    <row r="47">
      <c r="A47" t="inlineStr">
        <is>
          <t>S17-BMED</t>
        </is>
      </c>
      <c r="B47" t="inlineStr">
        <is>
          <t>SOL_ARK_60K</t>
        </is>
      </c>
      <c r="C47" t="inlineStr">
        <is>
          <t>BMED_ACID</t>
        </is>
      </c>
      <c r="D47" t="n">
        <v>5.6267</v>
      </c>
      <c r="E47" t="inlineStr">
        <is>
          <t>kW</t>
        </is>
      </c>
      <c r="F47" t="inlineStr">
        <is>
          <t>study</t>
        </is>
      </c>
    </row>
    <row r="48">
      <c r="A48" t="inlineStr">
        <is>
          <t>S20</t>
        </is>
      </c>
      <c r="B48" t="inlineStr">
        <is>
          <t>SOL_ARK_60K</t>
        </is>
      </c>
      <c r="C48" t="inlineStr">
        <is>
          <t>GROW_BED</t>
        </is>
      </c>
      <c r="D48" t="n">
        <v>2.0463</v>
      </c>
      <c r="E48" t="inlineStr">
        <is>
          <t>kW</t>
        </is>
      </c>
      <c r="F48" t="inlineStr">
        <is>
          <t>study</t>
        </is>
      </c>
    </row>
    <row r="49">
      <c r="A49" t="inlineStr">
        <is>
          <t>S45</t>
        </is>
      </c>
      <c r="B49" t="inlineStr">
        <is>
          <t>CRYO_H2</t>
        </is>
      </c>
      <c r="C49" t="inlineStr">
        <is>
          <t>BACKUP_GEN</t>
        </is>
      </c>
      <c r="D49" t="n">
        <v>0</v>
      </c>
      <c r="E49" t="inlineStr">
        <is>
          <t>kg/d</t>
        </is>
      </c>
      <c r="F49" t="inlineStr">
        <is>
          <t>study</t>
        </is>
      </c>
    </row>
    <row r="50">
      <c r="A50" t="inlineStr">
        <is>
          <t>S46</t>
        </is>
      </c>
      <c r="B50" t="inlineStr">
        <is>
          <t>BACKUP_GEN</t>
        </is>
      </c>
      <c r="C50" t="inlineStr">
        <is>
          <t>NOX_SCRUB</t>
        </is>
      </c>
      <c r="D50" t="n">
        <v>0.267975</v>
      </c>
      <c r="E50" t="inlineStr">
        <is>
          <t>kg/d</t>
        </is>
      </c>
      <c r="F50" t="inlineStr">
        <is>
          <t>study</t>
        </is>
      </c>
    </row>
    <row r="51">
      <c r="A51" t="inlineStr">
        <is>
          <t>S47</t>
        </is>
      </c>
      <c r="B51" t="inlineStr">
        <is>
          <t>BACKUP_GEN</t>
        </is>
      </c>
      <c r="C51" t="inlineStr">
        <is>
          <t>SOL_ARK_60K</t>
        </is>
      </c>
      <c r="D51" t="n">
        <v>0.008219000000000001</v>
      </c>
      <c r="E51" t="inlineStr">
        <is>
          <t>kW</t>
        </is>
      </c>
      <c r="F51" t="inlineStr">
        <is>
          <t>authority</t>
        </is>
      </c>
    </row>
    <row r="52">
      <c r="A52" t="inlineStr">
        <is>
          <t>S48</t>
        </is>
      </c>
      <c r="B52" t="inlineStr">
        <is>
          <t>GEO_ORC</t>
        </is>
      </c>
      <c r="C52" t="inlineStr">
        <is>
          <t>SOL_ARK_60K</t>
        </is>
      </c>
      <c r="F52" t="inlineStr">
        <is>
          <t>null</t>
        </is>
      </c>
    </row>
    <row r="53">
      <c r="A53" t="inlineStr">
        <is>
          <t>S49</t>
        </is>
      </c>
      <c r="B53" t="inlineStr">
        <is>
          <t>CRYO_H2</t>
        </is>
      </c>
      <c r="C53" t="inlineStr">
        <is>
          <t>FUEL_CELL</t>
        </is>
      </c>
      <c r="D53" t="n">
        <v>4.8</v>
      </c>
      <c r="E53" t="inlineStr">
        <is>
          <t>kg/d</t>
        </is>
      </c>
      <c r="F53" t="inlineStr">
        <is>
          <t>study</t>
        </is>
      </c>
    </row>
    <row r="54">
      <c r="A54" t="inlineStr">
        <is>
          <t>S50</t>
        </is>
      </c>
      <c r="B54" t="inlineStr">
        <is>
          <t>CRYO_O2</t>
        </is>
      </c>
      <c r="C54" t="inlineStr">
        <is>
          <t>FUEL_CELL</t>
        </is>
      </c>
      <c r="D54" t="n">
        <v>38.4</v>
      </c>
      <c r="E54" t="inlineStr">
        <is>
          <t>kg/d</t>
        </is>
      </c>
      <c r="F54" t="inlineStr">
        <is>
          <t>study</t>
        </is>
      </c>
    </row>
    <row r="55">
      <c r="A55" t="inlineStr">
        <is>
          <t>S51</t>
        </is>
      </c>
      <c r="B55" t="inlineStr">
        <is>
          <t>FUEL_CELL</t>
        </is>
      </c>
      <c r="C55" t="inlineStr">
        <is>
          <t>SOL_ARK_60K</t>
        </is>
      </c>
      <c r="D55" t="n">
        <v>4</v>
      </c>
      <c r="E55" t="inlineStr">
        <is>
          <t>kW</t>
        </is>
      </c>
      <c r="F55" t="inlineStr">
        <is>
          <t>authority</t>
        </is>
      </c>
    </row>
    <row r="56">
      <c r="A56" t="inlineStr">
        <is>
          <t>S52</t>
        </is>
      </c>
      <c r="B56" t="inlineStr">
        <is>
          <t>FUEL_CELL</t>
        </is>
      </c>
      <c r="C56" t="inlineStr">
        <is>
          <t>VCD_TRAIN</t>
        </is>
      </c>
      <c r="D56" t="n">
        <v>42.876623</v>
      </c>
      <c r="E56" t="inlineStr">
        <is>
          <t>kg/d</t>
        </is>
      </c>
      <c r="F56" t="inlineStr">
        <is>
          <t>study</t>
        </is>
      </c>
    </row>
    <row r="57">
      <c r="A57" t="inlineStr">
        <is>
          <t>S53</t>
        </is>
      </c>
      <c r="B57" t="inlineStr">
        <is>
          <t>FUEL_CELL</t>
        </is>
      </c>
      <c r="C57" t="inlineStr">
        <is>
          <t>Q4_BUS</t>
        </is>
      </c>
      <c r="D57" t="n">
        <v>1.1419</v>
      </c>
      <c r="E57" t="inlineStr">
        <is>
          <t>kW</t>
        </is>
      </c>
      <c r="F57" t="inlineStr">
        <is>
          <t>study</t>
        </is>
      </c>
    </row>
    <row r="58">
      <c r="A58" t="inlineStr">
        <is>
          <t>S69</t>
        </is>
      </c>
      <c r="B58" t="inlineStr">
        <is>
          <t>ZNBR2</t>
        </is>
      </c>
      <c r="C58" t="inlineStr">
        <is>
          <t>ZNBR2_BR2_REGEN</t>
        </is>
      </c>
      <c r="D58" t="n">
        <v>752.327603</v>
      </c>
      <c r="E58" t="inlineStr">
        <is>
          <t>kg/d</t>
        </is>
      </c>
      <c r="F58" t="inlineStr">
        <is>
          <t>study</t>
        </is>
      </c>
    </row>
    <row r="59">
      <c r="A59" t="inlineStr">
        <is>
          <t>S69B</t>
        </is>
      </c>
      <c r="B59" t="inlineStr">
        <is>
          <t>ZNBR2_BR2_REGEN</t>
        </is>
      </c>
      <c r="C59" t="inlineStr">
        <is>
          <t>ZNBR2</t>
        </is>
      </c>
      <c r="D59" t="n">
        <v>752.327603</v>
      </c>
      <c r="E59" t="inlineStr">
        <is>
          <t>kg/d</t>
        </is>
      </c>
      <c r="F59" t="inlineStr">
        <is>
          <t>study</t>
        </is>
      </c>
    </row>
    <row r="60">
      <c r="A60" t="inlineStr">
        <is>
          <t>S79</t>
        </is>
      </c>
      <c r="B60" t="inlineStr">
        <is>
          <t>MEOH_FC</t>
        </is>
      </c>
      <c r="C60" t="inlineStr">
        <is>
          <t>SOL_ARK_60K</t>
        </is>
      </c>
      <c r="D60" t="n">
        <v>1</v>
      </c>
      <c r="E60" t="inlineStr">
        <is>
          <t>kW</t>
        </is>
      </c>
      <c r="F60" t="inlineStr">
        <is>
          <t>study</t>
        </is>
      </c>
    </row>
    <row r="61">
      <c r="A61" t="inlineStr">
        <is>
          <t>SF-ACID_POLISH_SCRUB</t>
        </is>
      </c>
      <c r="B61" t="inlineStr">
        <is>
          <t>SOL_ARK_60K</t>
        </is>
      </c>
      <c r="C61" t="inlineStr">
        <is>
          <t>ACID_POLISH_SCRUB</t>
        </is>
      </c>
      <c r="D61" t="n">
        <v>1.1123</v>
      </c>
      <c r="E61" t="inlineStr">
        <is>
          <t>kW</t>
        </is>
      </c>
      <c r="F61" t="inlineStr">
        <is>
          <t>study</t>
        </is>
      </c>
    </row>
    <row r="62">
      <c r="A62" t="inlineStr">
        <is>
          <t>SF-ALK_SCRUBBER</t>
        </is>
      </c>
      <c r="B62" t="inlineStr">
        <is>
          <t>SOL_ARK_60K</t>
        </is>
      </c>
      <c r="C62" t="inlineStr">
        <is>
          <t>ALK_SCRUBBER</t>
        </is>
      </c>
      <c r="D62" t="n">
        <v>1.1123</v>
      </c>
      <c r="E62" t="inlineStr">
        <is>
          <t>kW</t>
        </is>
      </c>
      <c r="F62" t="inlineStr">
        <is>
          <t>study</t>
        </is>
      </c>
    </row>
    <row r="63">
      <c r="A63" t="inlineStr">
        <is>
          <t>SF-AL_POT</t>
        </is>
      </c>
      <c r="B63" t="inlineStr">
        <is>
          <t>SOL_ARK_60K</t>
        </is>
      </c>
      <c r="C63" t="inlineStr">
        <is>
          <t>AL_POT</t>
        </is>
      </c>
      <c r="D63" t="n">
        <v>5.6578</v>
      </c>
      <c r="E63" t="inlineStr">
        <is>
          <t>kW</t>
        </is>
      </c>
      <c r="F63" t="inlineStr">
        <is>
          <t>study</t>
        </is>
      </c>
    </row>
    <row r="64">
      <c r="A64" t="inlineStr">
        <is>
          <t>SF-BLACK_DIGEST</t>
        </is>
      </c>
      <c r="B64" t="inlineStr">
        <is>
          <t>SOL_ARK_60K</t>
        </is>
      </c>
      <c r="C64" t="inlineStr">
        <is>
          <t>BLACK_DIGEST</t>
        </is>
      </c>
      <c r="D64" t="n">
        <v>0.1052</v>
      </c>
      <c r="E64" t="inlineStr">
        <is>
          <t>kW</t>
        </is>
      </c>
      <c r="F64" t="inlineStr">
        <is>
          <t>study</t>
        </is>
      </c>
    </row>
    <row r="65">
      <c r="A65" t="inlineStr">
        <is>
          <t>SF-BLOW_MOLD</t>
        </is>
      </c>
      <c r="B65" t="inlineStr">
        <is>
          <t>SOL_ARK_60K</t>
        </is>
      </c>
      <c r="C65" t="inlineStr">
        <is>
          <t>BLOW_MOLD</t>
        </is>
      </c>
      <c r="D65" t="n">
        <v>0.3691</v>
      </c>
      <c r="E65" t="inlineStr">
        <is>
          <t>kW</t>
        </is>
      </c>
      <c r="F65" t="inlineStr">
        <is>
          <t>study</t>
        </is>
      </c>
    </row>
    <row r="66">
      <c r="A66" t="inlineStr">
        <is>
          <t>SF-BMED_UPW_POLISH</t>
        </is>
      </c>
      <c r="B66" t="inlineStr">
        <is>
          <t>SOL_ARK_60K</t>
        </is>
      </c>
      <c r="C66" t="inlineStr">
        <is>
          <t>BMED_UPW_POLISH</t>
        </is>
      </c>
      <c r="D66" t="n">
        <v>0.018</v>
      </c>
      <c r="E66" t="inlineStr">
        <is>
          <t>kW</t>
        </is>
      </c>
      <c r="F66" t="inlineStr">
        <is>
          <t>study</t>
        </is>
      </c>
    </row>
    <row r="67">
      <c r="A67" t="inlineStr">
        <is>
          <t>SF-CA_POT</t>
        </is>
      </c>
      <c r="B67" t="inlineStr">
        <is>
          <t>SOL_ARK_60K</t>
        </is>
      </c>
      <c r="C67" t="inlineStr">
        <is>
          <t>CA_POT</t>
        </is>
      </c>
      <c r="D67" t="n">
        <v>0.1221</v>
      </c>
      <c r="E67" t="inlineStr">
        <is>
          <t>kW</t>
        </is>
      </c>
      <c r="F67" t="inlineStr">
        <is>
          <t>study</t>
        </is>
      </c>
    </row>
    <row r="68">
      <c r="A68" t="inlineStr">
        <is>
          <t>SF-COMB_HEAT</t>
        </is>
      </c>
      <c r="B68" t="inlineStr">
        <is>
          <t>SOL_ARK_60K</t>
        </is>
      </c>
      <c r="C68" t="inlineStr">
        <is>
          <t>COMB_HEAT</t>
        </is>
      </c>
      <c r="D68" t="n">
        <v>0.05</v>
      </c>
      <c r="E68" t="inlineStr">
        <is>
          <t>kW</t>
        </is>
      </c>
      <c r="F68" t="inlineStr">
        <is>
          <t>study</t>
        </is>
      </c>
    </row>
    <row r="69">
      <c r="A69" t="inlineStr">
        <is>
          <t>SF-CRYO_AHU</t>
        </is>
      </c>
      <c r="B69" t="inlineStr">
        <is>
          <t>SOL_ARK_60K</t>
        </is>
      </c>
      <c r="C69" t="inlineStr">
        <is>
          <t>CRYO_AHU</t>
        </is>
      </c>
      <c r="D69" t="n">
        <v>0.6472</v>
      </c>
      <c r="E69" t="inlineStr">
        <is>
          <t>kW</t>
        </is>
      </c>
      <c r="F69" t="inlineStr">
        <is>
          <t>study</t>
        </is>
      </c>
    </row>
    <row r="70">
      <c r="A70" t="inlineStr">
        <is>
          <t>SF-CRYO_ASU</t>
        </is>
      </c>
      <c r="B70" t="inlineStr">
        <is>
          <t>SOL_ARK_60K</t>
        </is>
      </c>
      <c r="C70" t="inlineStr">
        <is>
          <t>CRYO_ASU</t>
        </is>
      </c>
      <c r="D70" t="n">
        <v>1.6689</v>
      </c>
      <c r="E70" t="inlineStr">
        <is>
          <t>kW</t>
        </is>
      </c>
      <c r="F70" t="inlineStr">
        <is>
          <t>study</t>
        </is>
      </c>
    </row>
    <row r="71">
      <c r="A71" t="inlineStr">
        <is>
          <t>SF-CRYO_H2</t>
        </is>
      </c>
      <c r="B71" t="inlineStr">
        <is>
          <t>SOL_ARK_60K</t>
        </is>
      </c>
      <c r="C71" t="inlineStr">
        <is>
          <t>CRYO_H2</t>
        </is>
      </c>
      <c r="D71" t="n">
        <v>0.9327</v>
      </c>
      <c r="E71" t="inlineStr">
        <is>
          <t>kW</t>
        </is>
      </c>
      <c r="F71" t="inlineStr">
        <is>
          <t>study</t>
        </is>
      </c>
    </row>
    <row r="72">
      <c r="A72" t="inlineStr">
        <is>
          <t>SF-CR_CELL</t>
        </is>
      </c>
      <c r="B72" t="inlineStr">
        <is>
          <t>SOL_ARK_60K</t>
        </is>
      </c>
      <c r="C72" t="inlineStr">
        <is>
          <t>CR_CELL</t>
        </is>
      </c>
      <c r="D72" t="n">
        <v>0.16</v>
      </c>
      <c r="E72" t="inlineStr">
        <is>
          <t>kW</t>
        </is>
      </c>
      <c r="F72" t="inlineStr">
        <is>
          <t>study</t>
        </is>
      </c>
    </row>
    <row r="73">
      <c r="A73" t="inlineStr">
        <is>
          <t>SF-DRAW</t>
        </is>
      </c>
      <c r="B73" t="inlineStr">
        <is>
          <t>SOL_ARK_60K</t>
        </is>
      </c>
      <c r="C73" t="inlineStr">
        <is>
          <t>DRAW</t>
        </is>
      </c>
      <c r="D73" t="n">
        <v>0</v>
      </c>
      <c r="E73" t="inlineStr">
        <is>
          <t>kW</t>
        </is>
      </c>
      <c r="F73" t="inlineStr">
        <is>
          <t>study</t>
        </is>
      </c>
    </row>
    <row r="74">
      <c r="A74" t="inlineStr">
        <is>
          <t>SF-ELECTRODE_COAT</t>
        </is>
      </c>
      <c r="B74" t="inlineStr">
        <is>
          <t>SOL_ARK_60K</t>
        </is>
      </c>
      <c r="C74" t="inlineStr">
        <is>
          <t>ELECTRODE_COAT</t>
        </is>
      </c>
      <c r="D74" t="n">
        <v>0.07920000000000001</v>
      </c>
      <c r="E74" t="inlineStr">
        <is>
          <t>kW</t>
        </is>
      </c>
      <c r="F74" t="inlineStr">
        <is>
          <t>study</t>
        </is>
      </c>
    </row>
    <row r="75">
      <c r="A75" t="inlineStr">
        <is>
          <t>SF-EVAP_ACID</t>
        </is>
      </c>
      <c r="B75" t="inlineStr">
        <is>
          <t>SOL_ARK_60K</t>
        </is>
      </c>
      <c r="C75" t="inlineStr">
        <is>
          <t>EVAP_ACID</t>
        </is>
      </c>
      <c r="D75" t="n">
        <v>1.498</v>
      </c>
      <c r="E75" t="inlineStr">
        <is>
          <t>kW</t>
        </is>
      </c>
      <c r="F75" t="inlineStr">
        <is>
          <t>study</t>
        </is>
      </c>
    </row>
    <row r="76">
      <c r="A76" t="inlineStr">
        <is>
          <t>SF-EVAP_ACID_VS</t>
        </is>
      </c>
      <c r="B76" t="inlineStr">
        <is>
          <t>SOL_ARK_60K</t>
        </is>
      </c>
      <c r="C76" t="inlineStr">
        <is>
          <t>EVAP_ACID_VS</t>
        </is>
      </c>
      <c r="D76" t="n">
        <v>0.0238</v>
      </c>
      <c r="E76" t="inlineStr">
        <is>
          <t>kW</t>
        </is>
      </c>
      <c r="F76" t="inlineStr">
        <is>
          <t>study</t>
        </is>
      </c>
    </row>
    <row r="77">
      <c r="A77" t="inlineStr">
        <is>
          <t>SF-EVAP_BASE</t>
        </is>
      </c>
      <c r="B77" t="inlineStr">
        <is>
          <t>SOL_ARK_60K</t>
        </is>
      </c>
      <c r="C77" t="inlineStr">
        <is>
          <t>EVAP_BASE</t>
        </is>
      </c>
      <c r="D77" t="n">
        <v>1.328</v>
      </c>
      <c r="E77" t="inlineStr">
        <is>
          <t>kW</t>
        </is>
      </c>
      <c r="F77" t="inlineStr">
        <is>
          <t>study</t>
        </is>
      </c>
    </row>
    <row r="78">
      <c r="A78" t="inlineStr">
        <is>
          <t>SF-EXTRUDE</t>
        </is>
      </c>
      <c r="B78" t="inlineStr">
        <is>
          <t>SOL_ARK_60K</t>
        </is>
      </c>
      <c r="C78" t="inlineStr">
        <is>
          <t>EXTRUDE</t>
        </is>
      </c>
      <c r="D78" t="n">
        <v>0</v>
      </c>
      <c r="E78" t="inlineStr">
        <is>
          <t>kW</t>
        </is>
      </c>
      <c r="F78" t="inlineStr">
        <is>
          <t>study</t>
        </is>
      </c>
    </row>
    <row r="79">
      <c r="A79" t="inlineStr">
        <is>
          <t>SF-EXT_HALL</t>
        </is>
      </c>
      <c r="B79" t="inlineStr">
        <is>
          <t>SOL_ARK_60K</t>
        </is>
      </c>
      <c r="C79" t="inlineStr">
        <is>
          <t>EXT_HALL</t>
        </is>
      </c>
      <c r="D79" t="n">
        <v>68.2838</v>
      </c>
      <c r="E79" t="inlineStr">
        <is>
          <t>kW</t>
        </is>
      </c>
      <c r="F79" t="inlineStr">
        <is>
          <t>study</t>
        </is>
      </c>
    </row>
    <row r="80">
      <c r="A80" t="inlineStr">
        <is>
          <t>SF-FILM_CAST</t>
        </is>
      </c>
      <c r="B80" t="inlineStr">
        <is>
          <t>SOL_ARK_60K</t>
        </is>
      </c>
      <c r="C80" t="inlineStr">
        <is>
          <t>FILM_CAST</t>
        </is>
      </c>
      <c r="D80" t="n">
        <v>0.1087</v>
      </c>
      <c r="E80" t="inlineStr">
        <is>
          <t>kW</t>
        </is>
      </c>
      <c r="F80" t="inlineStr">
        <is>
          <t>study</t>
        </is>
      </c>
    </row>
    <row r="81">
      <c r="A81" t="inlineStr">
        <is>
          <t>SF-FLUX_PREP</t>
        </is>
      </c>
      <c r="B81" t="inlineStr">
        <is>
          <t>SOL_ARK_60K</t>
        </is>
      </c>
      <c r="C81" t="inlineStr">
        <is>
          <t>FLUX_PREP</t>
        </is>
      </c>
      <c r="D81" t="n">
        <v>0.1</v>
      </c>
      <c r="E81" t="inlineStr">
        <is>
          <t>kW</t>
        </is>
      </c>
      <c r="F81" t="inlineStr">
        <is>
          <t>study</t>
        </is>
      </c>
    </row>
    <row r="82">
      <c r="A82" t="inlineStr">
        <is>
          <t>SF-FORGE</t>
        </is>
      </c>
      <c r="B82" t="inlineStr">
        <is>
          <t>SOL_ARK_60K</t>
        </is>
      </c>
      <c r="C82" t="inlineStr">
        <is>
          <t>FORGE</t>
        </is>
      </c>
      <c r="D82" t="n">
        <v>0</v>
      </c>
      <c r="E82" t="inlineStr">
        <is>
          <t>kW</t>
        </is>
      </c>
      <c r="F82" t="inlineStr">
        <is>
          <t>study</t>
        </is>
      </c>
    </row>
    <row r="83">
      <c r="A83" t="inlineStr">
        <is>
          <t>SF-GEO_HP</t>
        </is>
      </c>
      <c r="B83" t="inlineStr">
        <is>
          <t>SOL_ARK_60K</t>
        </is>
      </c>
      <c r="C83" t="inlineStr">
        <is>
          <t>GEO_HP</t>
        </is>
      </c>
      <c r="D83" t="n">
        <v>0.6860000000000001</v>
      </c>
      <c r="E83" t="inlineStr">
        <is>
          <t>kW</t>
        </is>
      </c>
      <c r="F83" t="inlineStr">
        <is>
          <t>study</t>
        </is>
      </c>
    </row>
    <row r="84">
      <c r="A84" t="inlineStr">
        <is>
          <t>SF-GLASS_DIGEST</t>
        </is>
      </c>
      <c r="B84" t="inlineStr">
        <is>
          <t>SOL_ARK_60K</t>
        </is>
      </c>
      <c r="C84" t="inlineStr">
        <is>
          <t>GLASS_DIGEST</t>
        </is>
      </c>
      <c r="D84" t="n">
        <v>0.09</v>
      </c>
      <c r="E84" t="inlineStr">
        <is>
          <t>kW</t>
        </is>
      </c>
      <c r="F84" t="inlineStr">
        <is>
          <t>study</t>
        </is>
      </c>
    </row>
    <row r="85">
      <c r="A85" t="inlineStr">
        <is>
          <t>SF-H2O_ELYZ</t>
        </is>
      </c>
      <c r="B85" t="inlineStr">
        <is>
          <t>SOL_ARK_60K</t>
        </is>
      </c>
      <c r="C85" t="inlineStr">
        <is>
          <t>H2O_ELYZ</t>
        </is>
      </c>
      <c r="D85" t="n">
        <v>21.4517</v>
      </c>
      <c r="E85" t="inlineStr">
        <is>
          <t>kW</t>
        </is>
      </c>
      <c r="F85" t="inlineStr">
        <is>
          <t>study</t>
        </is>
      </c>
    </row>
    <row r="86">
      <c r="A86" t="inlineStr">
        <is>
          <t>SF-H2_DRYER</t>
        </is>
      </c>
      <c r="B86" t="inlineStr">
        <is>
          <t>SOL_ARK_60K</t>
        </is>
      </c>
      <c r="C86" t="inlineStr">
        <is>
          <t>H2_DRYER</t>
        </is>
      </c>
      <c r="D86" t="n">
        <v>0.0205</v>
      </c>
      <c r="E86" t="inlineStr">
        <is>
          <t>kW</t>
        </is>
      </c>
      <c r="F86" t="inlineStr">
        <is>
          <t>study</t>
        </is>
      </c>
    </row>
    <row r="87">
      <c r="A87" t="inlineStr">
        <is>
          <t>SF-HF_GEN</t>
        </is>
      </c>
      <c r="B87" t="inlineStr">
        <is>
          <t>SOL_ARK_60K</t>
        </is>
      </c>
      <c r="C87" t="inlineStr">
        <is>
          <t>HF_GEN</t>
        </is>
      </c>
      <c r="D87" t="n">
        <v>0.3083</v>
      </c>
      <c r="E87" t="inlineStr">
        <is>
          <t>kW</t>
        </is>
      </c>
      <c r="F87" t="inlineStr">
        <is>
          <t>study</t>
        </is>
      </c>
    </row>
    <row r="88">
      <c r="A88" t="inlineStr">
        <is>
          <t>SF-IND_MELT</t>
        </is>
      </c>
      <c r="B88" t="inlineStr">
        <is>
          <t>SOL_ARK_60K</t>
        </is>
      </c>
      <c r="C88" t="inlineStr">
        <is>
          <t>IND_MELT</t>
        </is>
      </c>
      <c r="D88" t="n">
        <v>0.8854</v>
      </c>
      <c r="E88" t="inlineStr">
        <is>
          <t>kW</t>
        </is>
      </c>
      <c r="F88" t="inlineStr">
        <is>
          <t>study</t>
        </is>
      </c>
    </row>
    <row r="89">
      <c r="A89" t="inlineStr">
        <is>
          <t>SF-INV_CAST</t>
        </is>
      </c>
      <c r="B89" t="inlineStr">
        <is>
          <t>SOL_ARK_60K</t>
        </is>
      </c>
      <c r="C89" t="inlineStr">
        <is>
          <t>INV_CAST</t>
        </is>
      </c>
      <c r="D89" t="n">
        <v>0.15</v>
      </c>
      <c r="E89" t="inlineStr">
        <is>
          <t>kW</t>
        </is>
      </c>
      <c r="F89" t="inlineStr">
        <is>
          <t>study</t>
        </is>
      </c>
    </row>
    <row r="90">
      <c r="A90" t="inlineStr">
        <is>
          <t>SF-LEACH_CSTR_1</t>
        </is>
      </c>
      <c r="B90" t="inlineStr">
        <is>
          <t>SOL_ARK_60K</t>
        </is>
      </c>
      <c r="C90" t="inlineStr">
        <is>
          <t>LEACH_CSTR_1</t>
        </is>
      </c>
      <c r="D90" t="n">
        <v>0.75</v>
      </c>
      <c r="E90" t="inlineStr">
        <is>
          <t>kW</t>
        </is>
      </c>
      <c r="F90" t="inlineStr">
        <is>
          <t>study</t>
        </is>
      </c>
    </row>
    <row r="91">
      <c r="A91" t="inlineStr">
        <is>
          <t>SF-LITHO_ALIGN</t>
        </is>
      </c>
      <c r="B91" t="inlineStr">
        <is>
          <t>SOL_ARK_60K</t>
        </is>
      </c>
      <c r="C91" t="inlineStr">
        <is>
          <t>LITHO_ALIGN</t>
        </is>
      </c>
      <c r="D91" t="n">
        <v>0.004</v>
      </c>
      <c r="E91" t="inlineStr">
        <is>
          <t>kW</t>
        </is>
      </c>
      <c r="F91" t="inlineStr">
        <is>
          <t>study</t>
        </is>
      </c>
    </row>
    <row r="92">
      <c r="A92" t="inlineStr">
        <is>
          <t>SF-LITHO_COAT</t>
        </is>
      </c>
      <c r="B92" t="inlineStr">
        <is>
          <t>SOL_ARK_60K</t>
        </is>
      </c>
      <c r="C92" t="inlineStr">
        <is>
          <t>LITHO_COAT</t>
        </is>
      </c>
      <c r="D92" t="n">
        <v>0.0254</v>
      </c>
      <c r="E92" t="inlineStr">
        <is>
          <t>kW</t>
        </is>
      </c>
      <c r="F92" t="inlineStr">
        <is>
          <t>study</t>
        </is>
      </c>
    </row>
    <row r="93">
      <c r="A93" t="inlineStr">
        <is>
          <t>SF-LITHO_DEV</t>
        </is>
      </c>
      <c r="B93" t="inlineStr">
        <is>
          <t>SOL_ARK_60K</t>
        </is>
      </c>
      <c r="C93" t="inlineStr">
        <is>
          <t>LITHO_DEV</t>
        </is>
      </c>
      <c r="D93" t="n">
        <v>0.008</v>
      </c>
      <c r="E93" t="inlineStr">
        <is>
          <t>kW</t>
        </is>
      </c>
      <c r="F93" t="inlineStr">
        <is>
          <t>study</t>
        </is>
      </c>
    </row>
    <row r="94">
      <c r="A94" t="inlineStr">
        <is>
          <t>SF-LITHO_STUB</t>
        </is>
      </c>
      <c r="B94" t="inlineStr">
        <is>
          <t>SOL_ARK_60K</t>
        </is>
      </c>
      <c r="C94" t="inlineStr">
        <is>
          <t>LITHO_STUB</t>
        </is>
      </c>
      <c r="D94" t="n">
        <v>0</v>
      </c>
      <c r="E94" t="inlineStr">
        <is>
          <t>kW</t>
        </is>
      </c>
      <c r="F94" t="inlineStr">
        <is>
          <t>study</t>
        </is>
      </c>
    </row>
    <row r="95">
      <c r="A95" t="inlineStr">
        <is>
          <t>SF-MEOH_FERM</t>
        </is>
      </c>
      <c r="B95" t="inlineStr">
        <is>
          <t>SOL_ARK_60K</t>
        </is>
      </c>
      <c r="C95" t="inlineStr">
        <is>
          <t>MEOH_FERM</t>
        </is>
      </c>
      <c r="D95" t="n">
        <v>0.0207</v>
      </c>
      <c r="E95" t="inlineStr">
        <is>
          <t>kW</t>
        </is>
      </c>
      <c r="F95" t="inlineStr">
        <is>
          <t>study</t>
        </is>
      </c>
    </row>
    <row r="96">
      <c r="A96" t="inlineStr">
        <is>
          <t>SF-MEOH_SYNTH</t>
        </is>
      </c>
      <c r="B96" t="inlineStr">
        <is>
          <t>SOL_ARK_60K</t>
        </is>
      </c>
      <c r="C96" t="inlineStr">
        <is>
          <t>MEOH_SYNTH</t>
        </is>
      </c>
      <c r="D96" t="n">
        <v>0.7388</v>
      </c>
      <c r="E96" t="inlineStr">
        <is>
          <t>kW</t>
        </is>
      </c>
      <c r="F96" t="inlineStr">
        <is>
          <t>study</t>
        </is>
      </c>
    </row>
    <row r="97">
      <c r="A97" t="inlineStr">
        <is>
          <t>SF-MET_SCRUB</t>
        </is>
      </c>
      <c r="B97" t="inlineStr">
        <is>
          <t>SOL_ARK_60K</t>
        </is>
      </c>
      <c r="C97" t="inlineStr">
        <is>
          <t>MET_SCRUB</t>
        </is>
      </c>
      <c r="D97" t="n">
        <v>2.1234</v>
      </c>
      <c r="E97" t="inlineStr">
        <is>
          <t>kW</t>
        </is>
      </c>
      <c r="F97" t="inlineStr">
        <is>
          <t>study</t>
        </is>
      </c>
    </row>
    <row r="98">
      <c r="A98" t="inlineStr">
        <is>
          <t>SF-MFG_SHOP</t>
        </is>
      </c>
      <c r="B98" t="inlineStr">
        <is>
          <t>SOL_ARK_60K</t>
        </is>
      </c>
      <c r="C98" t="inlineStr">
        <is>
          <t>MFG_SHOP</t>
        </is>
      </c>
      <c r="D98" t="n">
        <v>2.9</v>
      </c>
      <c r="E98" t="inlineStr">
        <is>
          <t>kW</t>
        </is>
      </c>
      <c r="F98" t="inlineStr">
        <is>
          <t>study</t>
        </is>
      </c>
    </row>
    <row r="99">
      <c r="A99" t="inlineStr">
        <is>
          <t>SF-MG_POT</t>
        </is>
      </c>
      <c r="B99" t="inlineStr">
        <is>
          <t>SOL_ARK_60K</t>
        </is>
      </c>
      <c r="C99" t="inlineStr">
        <is>
          <t>MG_POT</t>
        </is>
      </c>
      <c r="D99" t="n">
        <v>0.3375</v>
      </c>
      <c r="E99" t="inlineStr">
        <is>
          <t>kW</t>
        </is>
      </c>
      <c r="F99" t="inlineStr">
        <is>
          <t>study</t>
        </is>
      </c>
    </row>
    <row r="100">
      <c r="A100" t="inlineStr">
        <is>
          <t>SF-MO_CELL</t>
        </is>
      </c>
      <c r="B100" t="inlineStr">
        <is>
          <t>SOL_ARK_60K</t>
        </is>
      </c>
      <c r="C100" t="inlineStr">
        <is>
          <t>MO_CELL</t>
        </is>
      </c>
      <c r="D100" t="n">
        <v>0.1141</v>
      </c>
      <c r="E100" t="inlineStr">
        <is>
          <t>kW</t>
        </is>
      </c>
      <c r="F100" t="inlineStr">
        <is>
          <t>study</t>
        </is>
      </c>
    </row>
    <row r="101">
      <c r="A101" t="inlineStr">
        <is>
          <t>SF-NOX_SCRUB</t>
        </is>
      </c>
      <c r="B101" t="inlineStr">
        <is>
          <t>SOL_ARK_60K</t>
        </is>
      </c>
      <c r="C101" t="inlineStr">
        <is>
          <t>NOX_SCRUB</t>
        </is>
      </c>
      <c r="D101" t="n">
        <v>0.0385</v>
      </c>
      <c r="E101" t="inlineStr">
        <is>
          <t>kW</t>
        </is>
      </c>
      <c r="F101" t="inlineStr">
        <is>
          <t>study</t>
        </is>
      </c>
    </row>
    <row r="102">
      <c r="A102" t="inlineStr">
        <is>
          <t>SF-NUTRIENT_DOSE</t>
        </is>
      </c>
      <c r="B102" t="inlineStr">
        <is>
          <t>SOL_ARK_60K</t>
        </is>
      </c>
      <c r="C102" t="inlineStr">
        <is>
          <t>NUTRIENT_DOSE</t>
        </is>
      </c>
      <c r="D102" t="n">
        <v>0.0245</v>
      </c>
      <c r="E102" t="inlineStr">
        <is>
          <t>kW</t>
        </is>
      </c>
      <c r="F102" t="inlineStr">
        <is>
          <t>study</t>
        </is>
      </c>
    </row>
    <row r="103">
      <c r="A103" t="inlineStr">
        <is>
          <t>SF-OIL_PYRO</t>
        </is>
      </c>
      <c r="B103" t="inlineStr">
        <is>
          <t>SOL_ARK_60K</t>
        </is>
      </c>
      <c r="C103" t="inlineStr">
        <is>
          <t>OIL_PYRO</t>
        </is>
      </c>
      <c r="D103" t="n">
        <v>1.664</v>
      </c>
      <c r="E103" t="inlineStr">
        <is>
          <t>kW</t>
        </is>
      </c>
      <c r="F103" t="inlineStr">
        <is>
          <t>study</t>
        </is>
      </c>
    </row>
    <row r="104">
      <c r="A104" t="inlineStr">
        <is>
          <t>SF-POLY_F</t>
        </is>
      </c>
      <c r="B104" t="inlineStr">
        <is>
          <t>SOL_ARK_60K</t>
        </is>
      </c>
      <c r="C104" t="inlineStr">
        <is>
          <t>POLY_F</t>
        </is>
      </c>
      <c r="D104" t="n">
        <v>0.0449</v>
      </c>
      <c r="E104" t="inlineStr">
        <is>
          <t>kW</t>
        </is>
      </c>
      <c r="F104" t="inlineStr">
        <is>
          <t>study</t>
        </is>
      </c>
    </row>
    <row r="105">
      <c r="A105" t="inlineStr">
        <is>
          <t>SF-POWDER_RESIN</t>
        </is>
      </c>
      <c r="B105" t="inlineStr">
        <is>
          <t>SOL_ARK_60K</t>
        </is>
      </c>
      <c r="C105" t="inlineStr">
        <is>
          <t>POWDER_RESIN</t>
        </is>
      </c>
      <c r="D105" t="n">
        <v>0.0152</v>
      </c>
      <c r="E105" t="inlineStr">
        <is>
          <t>kW</t>
        </is>
      </c>
      <c r="F105" t="inlineStr">
        <is>
          <t>study</t>
        </is>
      </c>
    </row>
    <row r="106">
      <c r="A106" t="inlineStr">
        <is>
          <t>SF-REMIN</t>
        </is>
      </c>
      <c r="B106" t="inlineStr">
        <is>
          <t>SOL_ARK_60K</t>
        </is>
      </c>
      <c r="C106" t="inlineStr">
        <is>
          <t>REMIN</t>
        </is>
      </c>
      <c r="D106" t="n">
        <v>0.046</v>
      </c>
      <c r="E106" t="inlineStr">
        <is>
          <t>kW</t>
        </is>
      </c>
      <c r="F106" t="inlineStr">
        <is>
          <t>study</t>
        </is>
      </c>
    </row>
    <row r="107">
      <c r="A107" t="inlineStr">
        <is>
          <t>SF-RES_HEAT</t>
        </is>
      </c>
      <c r="B107" t="inlineStr">
        <is>
          <t>SOL_ARK_60K</t>
        </is>
      </c>
      <c r="C107" t="inlineStr">
        <is>
          <t>RES_HEAT</t>
        </is>
      </c>
      <c r="D107" t="n">
        <v>0</v>
      </c>
      <c r="E107" t="inlineStr">
        <is>
          <t>kW</t>
        </is>
      </c>
      <c r="F107" t="inlineStr">
        <is>
          <t>study</t>
        </is>
      </c>
    </row>
    <row r="108">
      <c r="A108" t="inlineStr">
        <is>
          <t>SF-RF_HEAT</t>
        </is>
      </c>
      <c r="B108" t="inlineStr">
        <is>
          <t>SOL_ARK_60K</t>
        </is>
      </c>
      <c r="C108" t="inlineStr">
        <is>
          <t>RF_HEAT</t>
        </is>
      </c>
      <c r="D108" t="n">
        <v>0</v>
      </c>
      <c r="E108" t="inlineStr">
        <is>
          <t>kW</t>
        </is>
      </c>
      <c r="F108" t="inlineStr">
        <is>
          <t>study</t>
        </is>
      </c>
    </row>
    <row r="109">
      <c r="A109" t="inlineStr">
        <is>
          <t>SF-SHELL_BREAK</t>
        </is>
      </c>
      <c r="B109" t="inlineStr">
        <is>
          <t>SOL_ARK_60K</t>
        </is>
      </c>
      <c r="C109" t="inlineStr">
        <is>
          <t>SHELL_BREAK</t>
        </is>
      </c>
      <c r="D109" t="n">
        <v>0.4</v>
      </c>
      <c r="E109" t="inlineStr">
        <is>
          <t>kW</t>
        </is>
      </c>
      <c r="F109" t="inlineStr">
        <is>
          <t>study</t>
        </is>
      </c>
    </row>
    <row r="110">
      <c r="A110" t="inlineStr">
        <is>
          <t>SF-SHELL_BUILD</t>
        </is>
      </c>
      <c r="B110" t="inlineStr">
        <is>
          <t>SOL_ARK_60K</t>
        </is>
      </c>
      <c r="C110" t="inlineStr">
        <is>
          <t>SHELL_BUILD</t>
        </is>
      </c>
      <c r="D110" t="n">
        <v>0.3</v>
      </c>
      <c r="E110" t="inlineStr">
        <is>
          <t>kW</t>
        </is>
      </c>
      <c r="F110" t="inlineStr">
        <is>
          <t>study</t>
        </is>
      </c>
    </row>
    <row r="111">
      <c r="A111" t="inlineStr">
        <is>
          <t>SF-SHELL_BURNOUT</t>
        </is>
      </c>
      <c r="B111" t="inlineStr">
        <is>
          <t>SOL_ARK_60K</t>
        </is>
      </c>
      <c r="C111" t="inlineStr">
        <is>
          <t>SHELL_BURNOUT</t>
        </is>
      </c>
      <c r="D111" t="n">
        <v>0.25</v>
      </c>
      <c r="E111" t="inlineStr">
        <is>
          <t>kW</t>
        </is>
      </c>
      <c r="F111" t="inlineStr">
        <is>
          <t>study</t>
        </is>
      </c>
    </row>
    <row r="112">
      <c r="A112" t="inlineStr">
        <is>
          <t>SF-SINTER</t>
        </is>
      </c>
      <c r="B112" t="inlineStr">
        <is>
          <t>SOL_ARK_60K</t>
        </is>
      </c>
      <c r="C112" t="inlineStr">
        <is>
          <t>SINTER</t>
        </is>
      </c>
      <c r="D112" t="n">
        <v>0</v>
      </c>
      <c r="E112" t="inlineStr">
        <is>
          <t>kW</t>
        </is>
      </c>
      <c r="F112" t="inlineStr">
        <is>
          <t>study</t>
        </is>
      </c>
    </row>
    <row r="113">
      <c r="A113" t="inlineStr">
        <is>
          <t>SF-SOLAR_PV_CELL</t>
        </is>
      </c>
      <c r="B113" t="inlineStr">
        <is>
          <t>SOL_ARK_60K</t>
        </is>
      </c>
      <c r="C113" t="inlineStr">
        <is>
          <t>SOLAR_PV_CELL</t>
        </is>
      </c>
      <c r="D113" t="n">
        <v>0.3917</v>
      </c>
      <c r="E113" t="inlineStr">
        <is>
          <t>kW</t>
        </is>
      </c>
      <c r="F113" t="inlineStr">
        <is>
          <t>study</t>
        </is>
      </c>
    </row>
    <row r="114">
      <c r="A114" t="inlineStr">
        <is>
          <t>SF-TFE_SYN</t>
        </is>
      </c>
      <c r="B114" t="inlineStr">
        <is>
          <t>SOL_ARK_60K</t>
        </is>
      </c>
      <c r="C114" t="inlineStr">
        <is>
          <t>TFE_SYN</t>
        </is>
      </c>
      <c r="D114" t="n">
        <v>0.3989</v>
      </c>
      <c r="E114" t="inlineStr">
        <is>
          <t>kW</t>
        </is>
      </c>
      <c r="F114" t="inlineStr">
        <is>
          <t>study</t>
        </is>
      </c>
    </row>
    <row r="115">
      <c r="A115" t="inlineStr">
        <is>
          <t>SF-TI_CELL</t>
        </is>
      </c>
      <c r="B115" t="inlineStr">
        <is>
          <t>SOL_ARK_60K</t>
        </is>
      </c>
      <c r="C115" t="inlineStr">
        <is>
          <t>TI_CELL</t>
        </is>
      </c>
      <c r="D115" t="n">
        <v>0.5</v>
      </c>
      <c r="E115" t="inlineStr">
        <is>
          <t>kW</t>
        </is>
      </c>
      <c r="F115" t="inlineStr">
        <is>
          <t>study</t>
        </is>
      </c>
    </row>
    <row r="116">
      <c r="A116" t="inlineStr">
        <is>
          <t>SF-VAC_CAST</t>
        </is>
      </c>
      <c r="B116" t="inlineStr">
        <is>
          <t>SOL_ARK_60K</t>
        </is>
      </c>
      <c r="C116" t="inlineStr">
        <is>
          <t>VAC_CAST</t>
        </is>
      </c>
      <c r="D116" t="n">
        <v>0</v>
      </c>
      <c r="E116" t="inlineStr">
        <is>
          <t>kW</t>
        </is>
      </c>
      <c r="F116" t="inlineStr">
        <is>
          <t>study</t>
        </is>
      </c>
    </row>
    <row r="117">
      <c r="A117" t="inlineStr">
        <is>
          <t>SF-VAC_IND</t>
        </is>
      </c>
      <c r="B117" t="inlineStr">
        <is>
          <t>SOL_ARK_60K</t>
        </is>
      </c>
      <c r="C117" t="inlineStr">
        <is>
          <t>VAC_IND</t>
        </is>
      </c>
      <c r="D117" t="n">
        <v>0</v>
      </c>
      <c r="E117" t="inlineStr">
        <is>
          <t>kW</t>
        </is>
      </c>
      <c r="F117" t="inlineStr">
        <is>
          <t>study</t>
        </is>
      </c>
    </row>
    <row r="118">
      <c r="A118" t="inlineStr">
        <is>
          <t>SF-VDF_SYN</t>
        </is>
      </c>
      <c r="B118" t="inlineStr">
        <is>
          <t>SOL_ARK_60K</t>
        </is>
      </c>
      <c r="C118" t="inlineStr">
        <is>
          <t>VDF_SYN</t>
        </is>
      </c>
      <c r="D118" t="n">
        <v>0.5128</v>
      </c>
      <c r="E118" t="inlineStr">
        <is>
          <t>kW</t>
        </is>
      </c>
      <c r="F118" t="inlineStr">
        <is>
          <t>study</t>
        </is>
      </c>
    </row>
    <row r="119">
      <c r="A119" t="inlineStr">
        <is>
          <t>SF-WAFER_FAB</t>
        </is>
      </c>
      <c r="B119" t="inlineStr">
        <is>
          <t>SOL_ARK_60K</t>
        </is>
      </c>
      <c r="C119" t="inlineStr">
        <is>
          <t>WAFER_FAB</t>
        </is>
      </c>
      <c r="D119" t="n">
        <v>0.4417</v>
      </c>
      <c r="E119" t="inlineStr">
        <is>
          <t>kW</t>
        </is>
      </c>
      <c r="F119" t="inlineStr">
        <is>
          <t>study</t>
        </is>
      </c>
    </row>
    <row r="120">
      <c r="A120" t="inlineStr">
        <is>
          <t>SF-WAX_PATTERN</t>
        </is>
      </c>
      <c r="B120" t="inlineStr">
        <is>
          <t>SOL_ARK_60K</t>
        </is>
      </c>
      <c r="C120" t="inlineStr">
        <is>
          <t>WAX_PATTERN</t>
        </is>
      </c>
      <c r="D120" t="n">
        <v>0.5</v>
      </c>
      <c r="E120" t="inlineStr">
        <is>
          <t>kW</t>
        </is>
      </c>
      <c r="F120" t="inlineStr">
        <is>
          <t>study</t>
        </is>
      </c>
    </row>
    <row r="121">
      <c r="A121" t="inlineStr">
        <is>
          <t>SF-WET_BENCH</t>
        </is>
      </c>
      <c r="B121" t="inlineStr">
        <is>
          <t>SOL_ARK_60K</t>
        </is>
      </c>
      <c r="C121" t="inlineStr">
        <is>
          <t>WET_BENCH</t>
        </is>
      </c>
      <c r="D121" t="n">
        <v>0.2066</v>
      </c>
      <c r="E121" t="inlineStr">
        <is>
          <t>kW</t>
        </is>
      </c>
      <c r="F121" t="inlineStr">
        <is>
          <t>study</t>
        </is>
      </c>
    </row>
  </sheetData>
  <autoFilter ref="A1:H10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8" customWidth="1" min="3" max="3"/>
    <col width="10" customWidth="1" min="4" max="4"/>
    <col width="12" customWidth="1" min="5" max="5"/>
    <col width="16" customWidth="1" min="6" max="6"/>
    <col width="9" customWidth="1" min="7" max="7"/>
    <col width="13" customWidth="1" min="8" max="8"/>
  </cols>
  <sheetData>
    <row r="1">
      <c r="A1" s="3" t="inlineStr">
        <is>
          <t>unit_id</t>
        </is>
      </c>
      <c r="B1" s="3" t="inlineStr">
        <is>
          <t>continuous_kw</t>
        </is>
      </c>
      <c r="C1" s="3" t="inlineStr">
        <is>
          <t>kw_unit</t>
        </is>
      </c>
      <c r="D1" s="3" t="inlineStr">
        <is>
          <t>kw_status</t>
        </is>
      </c>
      <c r="E1" s="3" t="inlineStr">
        <is>
          <t>presence</t>
        </is>
      </c>
      <c r="F1" s="3" t="inlineStr">
        <is>
          <t>class</t>
        </is>
      </c>
      <c r="G1" s="3" t="inlineStr">
        <is>
          <t>enabled</t>
        </is>
      </c>
      <c r="H1" s="3" t="inlineStr">
        <is>
          <t>graph_sector</t>
        </is>
      </c>
    </row>
    <row r="2">
      <c r="A2" t="inlineStr">
        <is>
          <t>ADS_CHILL</t>
        </is>
      </c>
      <c r="E2" t="inlineStr">
        <is>
          <t>present</t>
        </is>
      </c>
      <c r="F2" t="inlineStr">
        <is>
          <t>adsorption_chiller</t>
        </is>
      </c>
      <c r="G2" t="b">
        <v>1</v>
      </c>
      <c r="H2" t="inlineStr">
        <is>
          <t>HEAT</t>
        </is>
      </c>
    </row>
    <row r="3">
      <c r="A3" t="inlineStr">
        <is>
          <t>DRY_COOLER</t>
        </is>
      </c>
      <c r="E3" t="inlineStr">
        <is>
          <t>present</t>
        </is>
      </c>
      <c r="F3" t="inlineStr">
        <is>
          <t>dry_cooler</t>
        </is>
      </c>
      <c r="G3" t="b">
        <v>1</v>
      </c>
      <c r="H3" t="inlineStr">
        <is>
          <t>HEAT</t>
        </is>
      </c>
    </row>
    <row r="4">
      <c r="A4" t="inlineStr">
        <is>
          <t>MAU_HX</t>
        </is>
      </c>
      <c r="E4" t="inlineStr">
        <is>
          <t>present</t>
        </is>
      </c>
      <c r="F4" t="inlineStr">
        <is>
          <t>hx</t>
        </is>
      </c>
      <c r="G4" t="b">
        <v>1</v>
      </c>
      <c r="H4" t="inlineStr">
        <is>
          <t>HEAT</t>
        </is>
      </c>
    </row>
    <row r="5">
      <c r="A5" t="inlineStr">
        <is>
          <t>Q1_A</t>
        </is>
      </c>
      <c r="E5" t="inlineStr">
        <is>
          <t>present</t>
        </is>
      </c>
      <c r="F5" t="inlineStr">
        <is>
          <t>heat_battery</t>
        </is>
      </c>
      <c r="G5" t="b">
        <v>1</v>
      </c>
      <c r="H5" t="inlineStr">
        <is>
          <t>HEAT</t>
        </is>
      </c>
    </row>
    <row r="6">
      <c r="A6" t="inlineStr">
        <is>
          <t>Q1_B</t>
        </is>
      </c>
      <c r="E6" t="inlineStr">
        <is>
          <t>present</t>
        </is>
      </c>
      <c r="F6" t="inlineStr">
        <is>
          <t>heat_battery</t>
        </is>
      </c>
      <c r="G6" t="b">
        <v>1</v>
      </c>
      <c r="H6" t="inlineStr">
        <is>
          <t>HEAT</t>
        </is>
      </c>
    </row>
    <row r="7">
      <c r="A7" t="inlineStr">
        <is>
          <t>Q2_A</t>
        </is>
      </c>
      <c r="E7" t="inlineStr">
        <is>
          <t>present</t>
        </is>
      </c>
      <c r="F7" t="inlineStr">
        <is>
          <t>heat_battery</t>
        </is>
      </c>
      <c r="G7" t="b">
        <v>1</v>
      </c>
      <c r="H7" t="inlineStr">
        <is>
          <t>HEAT</t>
        </is>
      </c>
    </row>
    <row r="8">
      <c r="A8" t="inlineStr">
        <is>
          <t>Q2_B</t>
        </is>
      </c>
      <c r="E8" t="inlineStr">
        <is>
          <t>present</t>
        </is>
      </c>
      <c r="F8" t="inlineStr">
        <is>
          <t>heat_battery</t>
        </is>
      </c>
      <c r="G8" t="b">
        <v>1</v>
      </c>
      <c r="H8" t="inlineStr">
        <is>
          <t>HEAT</t>
        </is>
      </c>
    </row>
    <row r="9">
      <c r="A9" t="inlineStr">
        <is>
          <t>Q3_A</t>
        </is>
      </c>
      <c r="E9" t="inlineStr">
        <is>
          <t>present</t>
        </is>
      </c>
      <c r="F9" t="inlineStr">
        <is>
          <t>heat_battery</t>
        </is>
      </c>
      <c r="G9" t="b">
        <v>1</v>
      </c>
      <c r="H9" t="inlineStr">
        <is>
          <t>HEAT</t>
        </is>
      </c>
    </row>
    <row r="10">
      <c r="A10" t="inlineStr">
        <is>
          <t>Q3_B</t>
        </is>
      </c>
      <c r="E10" t="inlineStr">
        <is>
          <t>present</t>
        </is>
      </c>
      <c r="F10" t="inlineStr">
        <is>
          <t>heat_battery</t>
        </is>
      </c>
      <c r="G10" t="b">
        <v>1</v>
      </c>
      <c r="H10" t="inlineStr">
        <is>
          <t>HEAT</t>
        </is>
      </c>
    </row>
    <row r="11">
      <c r="A11" t="inlineStr">
        <is>
          <t>Q4_A</t>
        </is>
      </c>
      <c r="E11" t="inlineStr">
        <is>
          <t>present</t>
        </is>
      </c>
      <c r="F11" t="inlineStr">
        <is>
          <t>heat_battery</t>
        </is>
      </c>
      <c r="G11" t="b">
        <v>1</v>
      </c>
      <c r="H11" t="inlineStr">
        <is>
          <t>HEAT</t>
        </is>
      </c>
    </row>
    <row r="12">
      <c r="A12" t="inlineStr">
        <is>
          <t>Q4_B</t>
        </is>
      </c>
      <c r="E12" t="inlineStr">
        <is>
          <t>present</t>
        </is>
      </c>
      <c r="F12" t="inlineStr">
        <is>
          <t>heat_battery</t>
        </is>
      </c>
      <c r="G12" t="b">
        <v>1</v>
      </c>
      <c r="H12" t="inlineStr">
        <is>
          <t>HEAT</t>
        </is>
      </c>
    </row>
    <row r="13">
      <c r="A13" t="inlineStr">
        <is>
          <t>Q4_BUS</t>
        </is>
      </c>
      <c r="E13" t="inlineStr">
        <is>
          <t>present</t>
        </is>
      </c>
      <c r="F13" t="inlineStr">
        <is>
          <t>header</t>
        </is>
      </c>
      <c r="G13" t="b">
        <v>1</v>
      </c>
      <c r="H13" t="inlineStr">
        <is>
          <t>HEAT</t>
        </is>
      </c>
    </row>
    <row r="15">
      <c r="A15" s="1" t="inlineStr">
        <is>
          <t>SUBTOTAL continuous kW (SUM)</t>
        </is>
      </c>
      <c r="B15" s="10">
        <f>SUM(B2:B13)</f>
        <v/>
      </c>
    </row>
    <row r="17">
      <c r="A17" s="9" t="inlineStr">
        <is>
          <t>EDGES TOUCHING THIS SECTOR (from or to)</t>
        </is>
      </c>
    </row>
    <row r="18">
      <c r="A18" s="3" t="inlineStr">
        <is>
          <t>stream_id</t>
        </is>
      </c>
      <c r="B18" s="3" t="inlineStr">
        <is>
          <t>from_unit</t>
        </is>
      </c>
      <c r="C18" s="3" t="inlineStr">
        <is>
          <t>to_unit</t>
        </is>
      </c>
      <c r="D18" s="3" t="inlineStr">
        <is>
          <t>rate</t>
        </is>
      </c>
      <c r="E18" s="3" t="inlineStr">
        <is>
          <t>unit</t>
        </is>
      </c>
      <c r="F18" s="3" t="inlineStr">
        <is>
          <t>status</t>
        </is>
      </c>
    </row>
    <row r="19">
      <c r="A19" t="inlineStr">
        <is>
          <t>HL-AFTERBURNER-Q1-A</t>
        </is>
      </c>
      <c r="B19" t="inlineStr">
        <is>
          <t>AFTERBURNER</t>
        </is>
      </c>
      <c r="C19" t="inlineStr">
        <is>
          <t>Q1_A</t>
        </is>
      </c>
      <c r="D19" t="n">
        <v>1.383</v>
      </c>
      <c r="E19" t="inlineStr">
        <is>
          <t>kW</t>
        </is>
      </c>
      <c r="F19" t="inlineStr">
        <is>
          <t>study</t>
        </is>
      </c>
    </row>
    <row r="20">
      <c r="A20" t="inlineStr">
        <is>
          <t>HL-AFTERBURNER-Q1-B</t>
        </is>
      </c>
      <c r="B20" t="inlineStr">
        <is>
          <t>AFTERBURNER</t>
        </is>
      </c>
      <c r="C20" t="inlineStr">
        <is>
          <t>Q1_B</t>
        </is>
      </c>
      <c r="D20" t="n">
        <v>1.383</v>
      </c>
      <c r="E20" t="inlineStr">
        <is>
          <t>kW</t>
        </is>
      </c>
      <c r="F20" t="inlineStr">
        <is>
          <t>study</t>
        </is>
      </c>
    </row>
    <row r="21">
      <c r="A21" t="inlineStr">
        <is>
          <t>HL-GLASS_BURNOUT-Q2-A</t>
        </is>
      </c>
      <c r="B21" t="inlineStr">
        <is>
          <t>GLASS_BURNOUT</t>
        </is>
      </c>
      <c r="C21" t="inlineStr">
        <is>
          <t>Q2_A</t>
        </is>
      </c>
      <c r="D21" t="n">
        <v>0.928</v>
      </c>
      <c r="E21" t="inlineStr">
        <is>
          <t>kW</t>
        </is>
      </c>
      <c r="F21" t="inlineStr">
        <is>
          <t>study</t>
        </is>
      </c>
    </row>
    <row r="22">
      <c r="A22" t="inlineStr">
        <is>
          <t>HL-GLASS_BURNOUT-Q2-B</t>
        </is>
      </c>
      <c r="B22" t="inlineStr">
        <is>
          <t>GLASS_BURNOUT</t>
        </is>
      </c>
      <c r="C22" t="inlineStr">
        <is>
          <t>Q2_B</t>
        </is>
      </c>
      <c r="D22" t="n">
        <v>0.928</v>
      </c>
      <c r="E22" t="inlineStr">
        <is>
          <t>kW</t>
        </is>
      </c>
      <c r="F22" t="inlineStr">
        <is>
          <t>study</t>
        </is>
      </c>
    </row>
    <row r="23">
      <c r="A23" t="inlineStr">
        <is>
          <t>HL-HX8-Q3-A</t>
        </is>
      </c>
      <c r="B23" t="inlineStr">
        <is>
          <t>HX8</t>
        </is>
      </c>
      <c r="C23" t="inlineStr">
        <is>
          <t>Q3_A</t>
        </is>
      </c>
      <c r="F23" t="inlineStr">
        <is>
          <t>null</t>
        </is>
      </c>
    </row>
    <row r="24">
      <c r="A24" t="inlineStr">
        <is>
          <t>HL-HX8-Q3-B</t>
        </is>
      </c>
      <c r="B24" t="inlineStr">
        <is>
          <t>HX8</t>
        </is>
      </c>
      <c r="C24" t="inlineStr">
        <is>
          <t>Q3_B</t>
        </is>
      </c>
      <c r="F24" t="inlineStr">
        <is>
          <t>null</t>
        </is>
      </c>
    </row>
    <row r="25">
      <c r="A25" t="inlineStr">
        <is>
          <t>HL-HX8-Q4-A</t>
        </is>
      </c>
      <c r="B25" t="inlineStr">
        <is>
          <t>HX8</t>
        </is>
      </c>
      <c r="C25" t="inlineStr">
        <is>
          <t>Q4_A</t>
        </is>
      </c>
      <c r="D25" t="n">
        <v>2.286</v>
      </c>
      <c r="E25" t="inlineStr">
        <is>
          <t>kW</t>
        </is>
      </c>
      <c r="F25" t="inlineStr">
        <is>
          <t>study</t>
        </is>
      </c>
    </row>
    <row r="26">
      <c r="A26" t="inlineStr">
        <is>
          <t>HL-HX8-Q4-B</t>
        </is>
      </c>
      <c r="B26" t="inlineStr">
        <is>
          <t>HX8</t>
        </is>
      </c>
      <c r="C26" t="inlineStr">
        <is>
          <t>Q4_B</t>
        </is>
      </c>
      <c r="D26" t="n">
        <v>2.286</v>
      </c>
      <c r="E26" t="inlineStr">
        <is>
          <t>kW</t>
        </is>
      </c>
      <c r="F26" t="inlineStr">
        <is>
          <t>study</t>
        </is>
      </c>
    </row>
    <row r="27">
      <c r="A27" t="inlineStr">
        <is>
          <t>HL-Q1-A-DOWN</t>
        </is>
      </c>
      <c r="B27" t="inlineStr">
        <is>
          <t>Q1_A</t>
        </is>
      </c>
      <c r="C27" t="inlineStr">
        <is>
          <t>Q2_A</t>
        </is>
      </c>
      <c r="D27" t="n">
        <v>1.133</v>
      </c>
      <c r="E27" t="inlineStr">
        <is>
          <t>kW</t>
        </is>
      </c>
      <c r="F27" t="inlineStr">
        <is>
          <t>study</t>
        </is>
      </c>
    </row>
    <row r="28">
      <c r="A28" t="inlineStr">
        <is>
          <t>HL-Q1-B-DOWN</t>
        </is>
      </c>
      <c r="B28" t="inlineStr">
        <is>
          <t>Q1_B</t>
        </is>
      </c>
      <c r="C28" t="inlineStr">
        <is>
          <t>Q2_B</t>
        </is>
      </c>
      <c r="D28" t="n">
        <v>1.133</v>
      </c>
      <c r="E28" t="inlineStr">
        <is>
          <t>kW</t>
        </is>
      </c>
      <c r="F28" t="inlineStr">
        <is>
          <t>study</t>
        </is>
      </c>
    </row>
    <row r="29">
      <c r="A29" t="inlineStr">
        <is>
          <t>HL-Q1-X</t>
        </is>
      </c>
      <c r="B29" t="inlineStr">
        <is>
          <t>Q1_A</t>
        </is>
      </c>
      <c r="C29" t="inlineStr">
        <is>
          <t>Q1_B</t>
        </is>
      </c>
      <c r="D29" t="n">
        <v>1.383</v>
      </c>
      <c r="E29" t="inlineStr">
        <is>
          <t>kW</t>
        </is>
      </c>
      <c r="F29" t="inlineStr">
        <is>
          <t>study</t>
        </is>
      </c>
    </row>
    <row r="30">
      <c r="A30" t="inlineStr">
        <is>
          <t>HL-Q1-X-BA</t>
        </is>
      </c>
      <c r="B30" t="inlineStr">
        <is>
          <t>Q1_B</t>
        </is>
      </c>
      <c r="C30" t="inlineStr">
        <is>
          <t>Q1_A</t>
        </is>
      </c>
      <c r="D30" t="n">
        <v>1.383</v>
      </c>
      <c r="E30" t="inlineStr">
        <is>
          <t>kW</t>
        </is>
      </c>
      <c r="F30" t="inlineStr">
        <is>
          <t>study</t>
        </is>
      </c>
    </row>
    <row r="31">
      <c r="A31" t="inlineStr">
        <is>
          <t>HL-Q2-A-DOWN</t>
        </is>
      </c>
      <c r="B31" t="inlineStr">
        <is>
          <t>Q2_A</t>
        </is>
      </c>
      <c r="C31" t="inlineStr">
        <is>
          <t>Q3_A</t>
        </is>
      </c>
      <c r="D31" t="n">
        <v>1.891</v>
      </c>
      <c r="E31" t="inlineStr">
        <is>
          <t>kW</t>
        </is>
      </c>
      <c r="F31" t="inlineStr">
        <is>
          <t>study</t>
        </is>
      </c>
    </row>
    <row r="32">
      <c r="A32" t="inlineStr">
        <is>
          <t>HL-Q2-B-DOWN</t>
        </is>
      </c>
      <c r="B32" t="inlineStr">
        <is>
          <t>Q2_B</t>
        </is>
      </c>
      <c r="C32" t="inlineStr">
        <is>
          <t>Q3_B</t>
        </is>
      </c>
      <c r="D32" t="n">
        <v>1.891</v>
      </c>
      <c r="E32" t="inlineStr">
        <is>
          <t>kW</t>
        </is>
      </c>
      <c r="F32" t="inlineStr">
        <is>
          <t>study</t>
        </is>
      </c>
    </row>
    <row r="33">
      <c r="A33" t="inlineStr">
        <is>
          <t>HL-Q2-X</t>
        </is>
      </c>
      <c r="B33" t="inlineStr">
        <is>
          <t>Q2_A</t>
        </is>
      </c>
      <c r="C33" t="inlineStr">
        <is>
          <t>Q2_B</t>
        </is>
      </c>
      <c r="D33" t="n">
        <v>2.027</v>
      </c>
      <c r="E33" t="inlineStr">
        <is>
          <t>kW</t>
        </is>
      </c>
      <c r="F33" t="inlineStr">
        <is>
          <t>study</t>
        </is>
      </c>
    </row>
    <row r="34">
      <c r="A34" t="inlineStr">
        <is>
          <t>HL-Q2-X-BA</t>
        </is>
      </c>
      <c r="B34" t="inlineStr">
        <is>
          <t>Q2_B</t>
        </is>
      </c>
      <c r="C34" t="inlineStr">
        <is>
          <t>Q2_A</t>
        </is>
      </c>
      <c r="D34" t="n">
        <v>2.027</v>
      </c>
      <c r="E34" t="inlineStr">
        <is>
          <t>kW</t>
        </is>
      </c>
      <c r="F34" t="inlineStr">
        <is>
          <t>study</t>
        </is>
      </c>
    </row>
    <row r="35">
      <c r="A35" t="inlineStr">
        <is>
          <t>HL-Q3-A-DOWN</t>
        </is>
      </c>
      <c r="B35" t="inlineStr">
        <is>
          <t>Q3_A</t>
        </is>
      </c>
      <c r="C35" t="inlineStr">
        <is>
          <t>Q4_A</t>
        </is>
      </c>
      <c r="D35" t="n">
        <v>0</v>
      </c>
      <c r="E35" t="inlineStr">
        <is>
          <t>kW</t>
        </is>
      </c>
      <c r="F35" t="inlineStr">
        <is>
          <t>study</t>
        </is>
      </c>
    </row>
    <row r="36">
      <c r="A36" t="inlineStr">
        <is>
          <t>HL-Q3-A-HX4</t>
        </is>
      </c>
      <c r="B36" t="inlineStr">
        <is>
          <t>Q3_A</t>
        </is>
      </c>
      <c r="C36" t="inlineStr">
        <is>
          <t>OIL_DRYER</t>
        </is>
      </c>
      <c r="D36" t="n">
        <v>0.0553</v>
      </c>
      <c r="E36" t="inlineStr">
        <is>
          <t>kW</t>
        </is>
      </c>
      <c r="F36" t="inlineStr">
        <is>
          <t>study</t>
        </is>
      </c>
    </row>
    <row r="37">
      <c r="A37" t="inlineStr">
        <is>
          <t>HL-Q3-A-HX5</t>
        </is>
      </c>
      <c r="B37" t="inlineStr">
        <is>
          <t>Q3_A</t>
        </is>
      </c>
      <c r="C37" t="inlineStr">
        <is>
          <t>LEACH_CSTR_1</t>
        </is>
      </c>
      <c r="D37" t="n">
        <v>1.4548</v>
      </c>
      <c r="E37" t="inlineStr">
        <is>
          <t>kW</t>
        </is>
      </c>
      <c r="F37" t="inlineStr">
        <is>
          <t>study</t>
        </is>
      </c>
    </row>
    <row r="38">
      <c r="A38" t="inlineStr">
        <is>
          <t>HL-Q3-A-HX6</t>
        </is>
      </c>
      <c r="B38" t="inlineStr">
        <is>
          <t>Q3_A</t>
        </is>
      </c>
      <c r="C38" t="inlineStr">
        <is>
          <t>GLASS_DIGEST</t>
        </is>
      </c>
      <c r="D38" t="n">
        <v>0.3809</v>
      </c>
      <c r="E38" t="inlineStr">
        <is>
          <t>kW</t>
        </is>
      </c>
      <c r="F38" t="inlineStr">
        <is>
          <t>study</t>
        </is>
      </c>
    </row>
    <row r="39">
      <c r="A39" t="inlineStr">
        <is>
          <t>HL-Q3-B-DOWN</t>
        </is>
      </c>
      <c r="B39" t="inlineStr">
        <is>
          <t>Q3_B</t>
        </is>
      </c>
      <c r="C39" t="inlineStr">
        <is>
          <t>Q4_B</t>
        </is>
      </c>
      <c r="D39" t="n">
        <v>0</v>
      </c>
      <c r="E39" t="inlineStr">
        <is>
          <t>kW</t>
        </is>
      </c>
      <c r="F39" t="inlineStr">
        <is>
          <t>study</t>
        </is>
      </c>
    </row>
    <row r="40">
      <c r="A40" t="inlineStr">
        <is>
          <t>HL-Q3-B-HX4</t>
        </is>
      </c>
      <c r="B40" t="inlineStr">
        <is>
          <t>Q3_B</t>
        </is>
      </c>
      <c r="C40" t="inlineStr">
        <is>
          <t>OIL_DRYER</t>
        </is>
      </c>
      <c r="D40" t="n">
        <v>0.0553</v>
      </c>
      <c r="E40" t="inlineStr">
        <is>
          <t>kW</t>
        </is>
      </c>
      <c r="F40" t="inlineStr">
        <is>
          <t>study</t>
        </is>
      </c>
    </row>
    <row r="41">
      <c r="A41" t="inlineStr">
        <is>
          <t>HL-Q3-B-HX5</t>
        </is>
      </c>
      <c r="B41" t="inlineStr">
        <is>
          <t>Q3_B</t>
        </is>
      </c>
      <c r="C41" t="inlineStr">
        <is>
          <t>LEACH_CSTR_1</t>
        </is>
      </c>
      <c r="D41" t="n">
        <v>1.4548</v>
      </c>
      <c r="E41" t="inlineStr">
        <is>
          <t>kW</t>
        </is>
      </c>
      <c r="F41" t="inlineStr">
        <is>
          <t>study</t>
        </is>
      </c>
    </row>
    <row r="42">
      <c r="A42" t="inlineStr">
        <is>
          <t>HL-Q3-B-HX6</t>
        </is>
      </c>
      <c r="B42" t="inlineStr">
        <is>
          <t>Q3_B</t>
        </is>
      </c>
      <c r="C42" t="inlineStr">
        <is>
          <t>GLASS_DIGEST</t>
        </is>
      </c>
      <c r="D42" t="n">
        <v>0.3809</v>
      </c>
      <c r="E42" t="inlineStr">
        <is>
          <t>kW</t>
        </is>
      </c>
      <c r="F42" t="inlineStr">
        <is>
          <t>study</t>
        </is>
      </c>
    </row>
    <row r="43">
      <c r="A43" t="inlineStr">
        <is>
          <t>HL-Q3-X</t>
        </is>
      </c>
      <c r="B43" t="inlineStr">
        <is>
          <t>Q3_A</t>
        </is>
      </c>
      <c r="C43" t="inlineStr">
        <is>
          <t>Q3_B</t>
        </is>
      </c>
      <c r="D43" t="n">
        <v>1.831</v>
      </c>
      <c r="E43" t="inlineStr">
        <is>
          <t>kW</t>
        </is>
      </c>
      <c r="F43" t="inlineStr">
        <is>
          <t>study</t>
        </is>
      </c>
    </row>
    <row r="44">
      <c r="A44" t="inlineStr">
        <is>
          <t>HL-Q3-X-BA</t>
        </is>
      </c>
      <c r="B44" t="inlineStr">
        <is>
          <t>Q3_B</t>
        </is>
      </c>
      <c r="C44" t="inlineStr">
        <is>
          <t>Q3_A</t>
        </is>
      </c>
      <c r="D44" t="n">
        <v>1.831</v>
      </c>
      <c r="E44" t="inlineStr">
        <is>
          <t>kW</t>
        </is>
      </c>
      <c r="F44" t="inlineStr">
        <is>
          <t>study</t>
        </is>
      </c>
    </row>
    <row r="45">
      <c r="A45" t="inlineStr">
        <is>
          <t>HL-Q4-A-BUS</t>
        </is>
      </c>
      <c r="B45" t="inlineStr">
        <is>
          <t>Q4_A</t>
        </is>
      </c>
      <c r="C45" t="inlineStr">
        <is>
          <t>Q4_BUS</t>
        </is>
      </c>
      <c r="D45" t="n">
        <v>3.896</v>
      </c>
      <c r="E45" t="inlineStr">
        <is>
          <t>kW</t>
        </is>
      </c>
      <c r="F45" t="inlineStr">
        <is>
          <t>study</t>
        </is>
      </c>
    </row>
    <row r="46">
      <c r="A46" t="inlineStr">
        <is>
          <t>HL-Q4-B-BUS</t>
        </is>
      </c>
      <c r="B46" t="inlineStr">
        <is>
          <t>Q4_B</t>
        </is>
      </c>
      <c r="C46" t="inlineStr">
        <is>
          <t>Q4_BUS</t>
        </is>
      </c>
      <c r="D46" t="n">
        <v>3.896</v>
      </c>
      <c r="E46" t="inlineStr">
        <is>
          <t>kW</t>
        </is>
      </c>
      <c r="F46" t="inlineStr">
        <is>
          <t>study</t>
        </is>
      </c>
    </row>
    <row r="47">
      <c r="A47" t="inlineStr">
        <is>
          <t>HL-Q4-REJ</t>
        </is>
      </c>
      <c r="B47" t="inlineStr">
        <is>
          <t>Q4_BUS</t>
        </is>
      </c>
      <c r="C47" t="inlineStr">
        <is>
          <t>DRY_COOLER</t>
        </is>
      </c>
      <c r="D47" t="n">
        <v>0</v>
      </c>
      <c r="E47" t="inlineStr">
        <is>
          <t>kW</t>
        </is>
      </c>
      <c r="F47" t="inlineStr">
        <is>
          <t>study</t>
        </is>
      </c>
    </row>
    <row r="48">
      <c r="A48" t="inlineStr">
        <is>
          <t>HL-Q4-X</t>
        </is>
      </c>
      <c r="B48" t="inlineStr">
        <is>
          <t>Q4_A</t>
        </is>
      </c>
      <c r="C48" t="inlineStr">
        <is>
          <t>Q4_B</t>
        </is>
      </c>
      <c r="D48" t="n">
        <v>1.565</v>
      </c>
      <c r="E48" t="inlineStr">
        <is>
          <t>kW</t>
        </is>
      </c>
      <c r="F48" t="inlineStr">
        <is>
          <t>study</t>
        </is>
      </c>
    </row>
    <row r="49">
      <c r="A49" t="inlineStr">
        <is>
          <t>HL-Q4-X-BA</t>
        </is>
      </c>
      <c r="B49" t="inlineStr">
        <is>
          <t>Q4_B</t>
        </is>
      </c>
      <c r="C49" t="inlineStr">
        <is>
          <t>Q4_A</t>
        </is>
      </c>
      <c r="D49" t="n">
        <v>1.565</v>
      </c>
      <c r="E49" t="inlineStr">
        <is>
          <t>kW</t>
        </is>
      </c>
      <c r="F49" t="inlineStr">
        <is>
          <t>study</t>
        </is>
      </c>
    </row>
    <row r="50">
      <c r="A50" t="inlineStr">
        <is>
          <t>IA-ADS-CHW</t>
        </is>
      </c>
      <c r="B50" t="inlineStr">
        <is>
          <t>ADS_CHILL</t>
        </is>
      </c>
      <c r="C50" t="inlineStr">
        <is>
          <t>HABITATION</t>
        </is>
      </c>
      <c r="D50" t="n">
        <v>2.25</v>
      </c>
      <c r="E50" t="inlineStr">
        <is>
          <t>kW</t>
        </is>
      </c>
      <c r="F50" t="inlineStr">
        <is>
          <t>study</t>
        </is>
      </c>
    </row>
    <row r="51">
      <c r="A51" t="inlineStr">
        <is>
          <t>IA-ADS-REJ</t>
        </is>
      </c>
      <c r="B51" t="inlineStr">
        <is>
          <t>ADS_CHILL</t>
        </is>
      </c>
      <c r="C51" t="inlineStr">
        <is>
          <t>DRY_COOLER</t>
        </is>
      </c>
      <c r="D51" t="n">
        <v>7.25</v>
      </c>
      <c r="E51" t="inlineStr">
        <is>
          <t>kW</t>
        </is>
      </c>
      <c r="F51" t="inlineStr">
        <is>
          <t>study</t>
        </is>
      </c>
    </row>
    <row r="52">
      <c r="A52" t="inlineStr">
        <is>
          <t>IA-MAU-AIR</t>
        </is>
      </c>
      <c r="B52" t="inlineStr">
        <is>
          <t>MAU_HX</t>
        </is>
      </c>
      <c r="C52" t="inlineStr">
        <is>
          <t>HABITATION</t>
        </is>
      </c>
      <c r="D52" t="n">
        <v>12</v>
      </c>
      <c r="E52" t="inlineStr">
        <is>
          <t>kW</t>
        </is>
      </c>
      <c r="F52" t="inlineStr">
        <is>
          <t>study</t>
        </is>
      </c>
    </row>
    <row r="53">
      <c r="A53" t="inlineStr">
        <is>
          <t>IA-Q1A-LOSS</t>
        </is>
      </c>
      <c r="B53" t="inlineStr">
        <is>
          <t>Q1_A</t>
        </is>
      </c>
      <c r="C53" t="inlineStr">
        <is>
          <t>BOUNDARY_EXPORT</t>
        </is>
      </c>
      <c r="D53" t="n">
        <v>0.25</v>
      </c>
      <c r="E53" t="inlineStr">
        <is>
          <t>kW</t>
        </is>
      </c>
      <c r="F53" t="inlineStr">
        <is>
          <t>study</t>
        </is>
      </c>
    </row>
    <row r="54">
      <c r="A54" t="inlineStr">
        <is>
          <t>IA-Q1B-LOSS</t>
        </is>
      </c>
      <c r="B54" t="inlineStr">
        <is>
          <t>Q1_B</t>
        </is>
      </c>
      <c r="C54" t="inlineStr">
        <is>
          <t>BOUNDARY_EXPORT</t>
        </is>
      </c>
      <c r="D54" t="n">
        <v>0.25</v>
      </c>
      <c r="E54" t="inlineStr">
        <is>
          <t>kW</t>
        </is>
      </c>
      <c r="F54" t="inlineStr">
        <is>
          <t>study</t>
        </is>
      </c>
    </row>
    <row r="55">
      <c r="A55" t="inlineStr">
        <is>
          <t>IA-Q2A-LOSS</t>
        </is>
      </c>
      <c r="B55" t="inlineStr">
        <is>
          <t>Q2_A</t>
        </is>
      </c>
      <c r="C55" t="inlineStr">
        <is>
          <t>BOUNDARY_EXPORT</t>
        </is>
      </c>
      <c r="D55" t="n">
        <v>0.17</v>
      </c>
      <c r="E55" t="inlineStr">
        <is>
          <t>kW</t>
        </is>
      </c>
      <c r="F55" t="inlineStr">
        <is>
          <t>study</t>
        </is>
      </c>
    </row>
    <row r="56">
      <c r="A56" t="inlineStr">
        <is>
          <t>IA-Q2B-LOSS</t>
        </is>
      </c>
      <c r="B56" t="inlineStr">
        <is>
          <t>Q2_B</t>
        </is>
      </c>
      <c r="C56" t="inlineStr">
        <is>
          <t>BOUNDARY_EXPORT</t>
        </is>
      </c>
      <c r="D56" t="n">
        <v>0.17</v>
      </c>
      <c r="E56" t="inlineStr">
        <is>
          <t>kW</t>
        </is>
      </c>
      <c r="F56" t="inlineStr">
        <is>
          <t>study</t>
        </is>
      </c>
    </row>
    <row r="57">
      <c r="A57" t="inlineStr">
        <is>
          <t>IA-Q4-ADS</t>
        </is>
      </c>
      <c r="B57" t="inlineStr">
        <is>
          <t>Q4_BUS</t>
        </is>
      </c>
      <c r="C57" t="inlineStr">
        <is>
          <t>ADS_CHILL</t>
        </is>
      </c>
      <c r="D57" t="n">
        <v>5</v>
      </c>
      <c r="E57" t="inlineStr">
        <is>
          <t>kW</t>
        </is>
      </c>
      <c r="F57" t="inlineStr">
        <is>
          <t>study</t>
        </is>
      </c>
    </row>
    <row r="58">
      <c r="A58" t="inlineStr">
        <is>
          <t>IA-Q4-LIFE</t>
        </is>
      </c>
      <c r="B58" t="inlineStr">
        <is>
          <t>Q4_BUS</t>
        </is>
      </c>
      <c r="C58" t="inlineStr">
        <is>
          <t>HABITATION</t>
        </is>
      </c>
      <c r="D58" t="n">
        <v>3</v>
      </c>
      <c r="E58" t="inlineStr">
        <is>
          <t>kW</t>
        </is>
      </c>
      <c r="F58" t="inlineStr">
        <is>
          <t>study</t>
        </is>
      </c>
    </row>
    <row r="59">
      <c r="A59" t="inlineStr">
        <is>
          <t>IA-Q4-MAU</t>
        </is>
      </c>
      <c r="B59" t="inlineStr">
        <is>
          <t>Q4_BUS</t>
        </is>
      </c>
      <c r="C59" t="inlineStr">
        <is>
          <t>MAU_HX</t>
        </is>
      </c>
      <c r="D59" t="n">
        <v>12</v>
      </c>
      <c r="E59" t="inlineStr">
        <is>
          <t>kW</t>
        </is>
      </c>
      <c r="F59" t="inlineStr">
        <is>
          <t>study</t>
        </is>
      </c>
    </row>
    <row r="60">
      <c r="A60" t="inlineStr">
        <is>
          <t>IA-Q4A-TRIM</t>
        </is>
      </c>
      <c r="B60" t="inlineStr">
        <is>
          <t>RECTIFIER</t>
        </is>
      </c>
      <c r="C60" t="inlineStr">
        <is>
          <t>Q4_A</t>
        </is>
      </c>
      <c r="D60" t="n">
        <v>1.61</v>
      </c>
      <c r="E60" t="inlineStr">
        <is>
          <t>kW</t>
        </is>
      </c>
      <c r="F60" t="inlineStr">
        <is>
          <t>study</t>
        </is>
      </c>
    </row>
    <row r="61">
      <c r="A61" t="inlineStr">
        <is>
          <t>IA-Q4B-TRIM</t>
        </is>
      </c>
      <c r="B61" t="inlineStr">
        <is>
          <t>RECTIFIER</t>
        </is>
      </c>
      <c r="C61" t="inlineStr">
        <is>
          <t>Q4_B</t>
        </is>
      </c>
      <c r="D61" t="n">
        <v>1.61</v>
      </c>
      <c r="E61" t="inlineStr">
        <is>
          <t>kW</t>
        </is>
      </c>
      <c r="F61" t="inlineStr">
        <is>
          <t>study</t>
        </is>
      </c>
    </row>
    <row r="62">
      <c r="A62" t="inlineStr">
        <is>
          <t>IA-RECT-Q4</t>
        </is>
      </c>
      <c r="B62" t="inlineStr">
        <is>
          <t>RECTIFIER</t>
        </is>
      </c>
      <c r="C62" t="inlineStr">
        <is>
          <t>Q4_BUS</t>
        </is>
      </c>
      <c r="D62" t="n">
        <v>1</v>
      </c>
      <c r="E62" t="inlineStr">
        <is>
          <t>kW</t>
        </is>
      </c>
      <c r="F62" t="inlineStr">
        <is>
          <t>study</t>
        </is>
      </c>
    </row>
    <row r="63">
      <c r="A63" t="inlineStr">
        <is>
          <t>IA-ZNBR-HEAT</t>
        </is>
      </c>
      <c r="B63" t="inlineStr">
        <is>
          <t>ZNBR2</t>
        </is>
      </c>
      <c r="C63" t="inlineStr">
        <is>
          <t>Q4_BUS</t>
        </is>
      </c>
      <c r="D63" t="n">
        <v>1.67</v>
      </c>
      <c r="E63" t="inlineStr">
        <is>
          <t>kW</t>
        </is>
      </c>
      <c r="F63" t="inlineStr">
        <is>
          <t>study</t>
        </is>
      </c>
    </row>
    <row r="64">
      <c r="A64" t="inlineStr">
        <is>
          <t>S100</t>
        </is>
      </c>
      <c r="B64" t="inlineStr">
        <is>
          <t>Q4_BUS</t>
        </is>
      </c>
      <c r="C64" t="inlineStr">
        <is>
          <t>LEACH_CSTR_1</t>
        </is>
      </c>
      <c r="D64" t="n">
        <v>0.5322</v>
      </c>
      <c r="E64" t="inlineStr">
        <is>
          <t>kW</t>
        </is>
      </c>
      <c r="F64" t="inlineStr">
        <is>
          <t>study</t>
        </is>
      </c>
    </row>
    <row r="65">
      <c r="A65" t="inlineStr">
        <is>
          <t>S101</t>
        </is>
      </c>
      <c r="B65" t="inlineStr">
        <is>
          <t>Q4_BUS</t>
        </is>
      </c>
      <c r="C65" t="inlineStr">
        <is>
          <t>GLASS_DIGEST</t>
        </is>
      </c>
      <c r="D65" t="n">
        <v>0.2822</v>
      </c>
      <c r="E65" t="inlineStr">
        <is>
          <t>kW</t>
        </is>
      </c>
      <c r="F65" t="inlineStr">
        <is>
          <t>study</t>
        </is>
      </c>
    </row>
    <row r="66">
      <c r="A66" t="inlineStr">
        <is>
          <t>S44</t>
        </is>
      </c>
      <c r="B66" t="inlineStr">
        <is>
          <t>GEO_HP</t>
        </is>
      </c>
      <c r="C66" t="inlineStr">
        <is>
          <t>Q4_BUS</t>
        </is>
      </c>
      <c r="D66" t="n">
        <v>2.1952</v>
      </c>
      <c r="E66" t="inlineStr">
        <is>
          <t>kW</t>
        </is>
      </c>
      <c r="F66" t="inlineStr">
        <is>
          <t>study</t>
        </is>
      </c>
    </row>
    <row r="67">
      <c r="A67" t="inlineStr">
        <is>
          <t>S53</t>
        </is>
      </c>
      <c r="B67" t="inlineStr">
        <is>
          <t>FUEL_CELL</t>
        </is>
      </c>
      <c r="C67" t="inlineStr">
        <is>
          <t>Q4_BUS</t>
        </is>
      </c>
      <c r="D67" t="n">
        <v>1.1419</v>
      </c>
      <c r="E67" t="inlineStr">
        <is>
          <t>kW</t>
        </is>
      </c>
      <c r="F67" t="inlineStr">
        <is>
          <t>study</t>
        </is>
      </c>
    </row>
    <row r="68">
      <c r="A68" t="inlineStr">
        <is>
          <t>S54</t>
        </is>
      </c>
      <c r="B68" t="inlineStr">
        <is>
          <t>CRYO_HX_Q4</t>
        </is>
      </c>
      <c r="C68" t="inlineStr">
        <is>
          <t>Q4_BUS</t>
        </is>
      </c>
      <c r="D68" t="n">
        <v>0.5448</v>
      </c>
      <c r="E68" t="inlineStr">
        <is>
          <t>kW</t>
        </is>
      </c>
      <c r="F68" t="inlineStr">
        <is>
          <t>study</t>
        </is>
      </c>
    </row>
    <row r="69">
      <c r="A69" t="inlineStr">
        <is>
          <t>S63</t>
        </is>
      </c>
      <c r="B69" t="inlineStr">
        <is>
          <t>MET_HX_Q4</t>
        </is>
      </c>
      <c r="C69" t="inlineStr">
        <is>
          <t>Q4_BUS</t>
        </is>
      </c>
      <c r="D69" t="n">
        <v>0.0171</v>
      </c>
      <c r="E69" t="inlineStr">
        <is>
          <t>kW</t>
        </is>
      </c>
      <c r="F69" t="inlineStr">
        <is>
          <t>study</t>
        </is>
      </c>
    </row>
    <row r="70">
      <c r="A70" t="inlineStr">
        <is>
          <t>S80</t>
        </is>
      </c>
      <c r="B70" t="inlineStr">
        <is>
          <t>MEOH_FC</t>
        </is>
      </c>
      <c r="C70" t="inlineStr">
        <is>
          <t>Q4_BUS</t>
        </is>
      </c>
      <c r="D70" t="n">
        <v>0.3689</v>
      </c>
      <c r="E70" t="inlineStr">
        <is>
          <t>kW</t>
        </is>
      </c>
      <c r="F70" t="inlineStr">
        <is>
          <t>study</t>
        </is>
      </c>
    </row>
    <row r="71">
      <c r="A71" t="inlineStr">
        <is>
          <t>SQ-H2O_ELYZ-Q4</t>
        </is>
      </c>
      <c r="B71" t="inlineStr">
        <is>
          <t>H2O_ELYZ</t>
        </is>
      </c>
      <c r="C71" t="inlineStr">
        <is>
          <t>Q4_BUS</t>
        </is>
      </c>
      <c r="D71" t="n">
        <v>6.0845</v>
      </c>
      <c r="E71" t="inlineStr">
        <is>
          <t>kW</t>
        </is>
      </c>
      <c r="F71" t="inlineStr">
        <is>
          <t>study</t>
        </is>
      </c>
    </row>
  </sheetData>
  <autoFilter ref="A1:H1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8" customWidth="1" min="3" max="3"/>
    <col width="10" customWidth="1" min="4" max="4"/>
    <col width="12" customWidth="1" min="5" max="5"/>
    <col width="16" customWidth="1" min="6" max="6"/>
    <col width="9" customWidth="1" min="7" max="7"/>
    <col width="13" customWidth="1" min="8" max="8"/>
  </cols>
  <sheetData>
    <row r="1">
      <c r="A1" s="3" t="inlineStr">
        <is>
          <t>unit_id</t>
        </is>
      </c>
      <c r="B1" s="3" t="inlineStr">
        <is>
          <t>continuous_kw</t>
        </is>
      </c>
      <c r="C1" s="3" t="inlineStr">
        <is>
          <t>kw_unit</t>
        </is>
      </c>
      <c r="D1" s="3" t="inlineStr">
        <is>
          <t>kw_status</t>
        </is>
      </c>
      <c r="E1" s="3" t="inlineStr">
        <is>
          <t>presence</t>
        </is>
      </c>
      <c r="F1" s="3" t="inlineStr">
        <is>
          <t>class</t>
        </is>
      </c>
      <c r="G1" s="3" t="inlineStr">
        <is>
          <t>enabled</t>
        </is>
      </c>
      <c r="H1" s="3" t="inlineStr">
        <is>
          <t>graph_sector</t>
        </is>
      </c>
    </row>
    <row r="2">
      <c r="A2" t="inlineStr">
        <is>
          <t>MEOH_COND</t>
        </is>
      </c>
      <c r="E2" t="inlineStr">
        <is>
          <t>present</t>
        </is>
      </c>
      <c r="F2" t="inlineStr">
        <is>
          <t>separator</t>
        </is>
      </c>
      <c r="G2" t="b">
        <v>1</v>
      </c>
      <c r="H2" t="inlineStr">
        <is>
          <t>MEOH</t>
        </is>
      </c>
    </row>
    <row r="3">
      <c r="A3" t="inlineStr">
        <is>
          <t>MEOH_FC</t>
        </is>
      </c>
      <c r="B3" s="8" t="n">
        <v>1</v>
      </c>
      <c r="C3" t="inlineStr">
        <is>
          <t>kW</t>
        </is>
      </c>
      <c r="D3" t="inlineStr">
        <is>
          <t>study</t>
        </is>
      </c>
      <c r="E3" t="inlineStr">
        <is>
          <t>present</t>
        </is>
      </c>
      <c r="F3" t="inlineStr">
        <is>
          <t>iem_fc</t>
        </is>
      </c>
      <c r="G3" t="b">
        <v>1</v>
      </c>
      <c r="H3" t="inlineStr">
        <is>
          <t>MEOH</t>
        </is>
      </c>
    </row>
    <row r="4">
      <c r="A4" t="inlineStr">
        <is>
          <t>MEOH_FERM</t>
        </is>
      </c>
      <c r="B4" s="8" t="n">
        <v>0.0207</v>
      </c>
      <c r="C4" t="inlineStr">
        <is>
          <t>kW</t>
        </is>
      </c>
      <c r="D4" t="inlineStr">
        <is>
          <t>study</t>
        </is>
      </c>
      <c r="E4" t="inlineStr">
        <is>
          <t>present</t>
        </is>
      </c>
      <c r="F4" t="inlineStr">
        <is>
          <t>ferment</t>
        </is>
      </c>
      <c r="G4" t="b">
        <v>1</v>
      </c>
      <c r="H4" t="inlineStr">
        <is>
          <t>MEOH</t>
        </is>
      </c>
    </row>
    <row r="5">
      <c r="A5" t="inlineStr">
        <is>
          <t>MEOH_SYNTH</t>
        </is>
      </c>
      <c r="B5" s="8" t="n">
        <v>0.7388</v>
      </c>
      <c r="C5" t="inlineStr">
        <is>
          <t>kW</t>
        </is>
      </c>
      <c r="D5" t="inlineStr">
        <is>
          <t>study</t>
        </is>
      </c>
      <c r="E5" t="inlineStr">
        <is>
          <t>present</t>
        </is>
      </c>
      <c r="F5" t="inlineStr">
        <is>
          <t>reactor</t>
        </is>
      </c>
      <c r="G5" t="b">
        <v>1</v>
      </c>
      <c r="H5" t="inlineStr">
        <is>
          <t>MEOH</t>
        </is>
      </c>
    </row>
    <row r="6">
      <c r="A6" t="inlineStr">
        <is>
          <t>MEOH_TANK</t>
        </is>
      </c>
      <c r="B6" s="8" t="n"/>
      <c r="C6" t="inlineStr">
        <is>
          <t>kW</t>
        </is>
      </c>
      <c r="D6" t="inlineStr">
        <is>
          <t>study</t>
        </is>
      </c>
      <c r="E6" t="inlineStr">
        <is>
          <t>present</t>
        </is>
      </c>
      <c r="F6" t="inlineStr">
        <is>
          <t>tank</t>
        </is>
      </c>
      <c r="G6" t="b">
        <v>1</v>
      </c>
      <c r="H6" t="inlineStr">
        <is>
          <t>MEOH</t>
        </is>
      </c>
    </row>
    <row r="8">
      <c r="A8" s="1" t="inlineStr">
        <is>
          <t>SUBTOTAL continuous kW (SUM)</t>
        </is>
      </c>
      <c r="B8" s="10">
        <f>SUM(B2:B6)</f>
        <v/>
      </c>
    </row>
    <row r="10">
      <c r="A10" s="9" t="inlineStr">
        <is>
          <t>EDGES TOUCHING THIS SECTOR (from or to)</t>
        </is>
      </c>
    </row>
    <row r="11">
      <c r="A11" s="3" t="inlineStr">
        <is>
          <t>stream_id</t>
        </is>
      </c>
      <c r="B11" s="3" t="inlineStr">
        <is>
          <t>from_unit</t>
        </is>
      </c>
      <c r="C11" s="3" t="inlineStr">
        <is>
          <t>to_unit</t>
        </is>
      </c>
      <c r="D11" s="3" t="inlineStr">
        <is>
          <t>rate</t>
        </is>
      </c>
      <c r="E11" s="3" t="inlineStr">
        <is>
          <t>unit</t>
        </is>
      </c>
      <c r="F11" s="3" t="inlineStr">
        <is>
          <t>status</t>
        </is>
      </c>
    </row>
    <row r="12">
      <c r="A12" t="inlineStr">
        <is>
          <t>IA-CLOSE-10</t>
        </is>
      </c>
      <c r="B12" t="inlineStr">
        <is>
          <t>LEACH_CSTR_1</t>
        </is>
      </c>
      <c r="C12" t="inlineStr">
        <is>
          <t>MEOH_FC</t>
        </is>
      </c>
      <c r="D12" t="n">
        <v>0.1896</v>
      </c>
      <c r="E12" t="inlineStr">
        <is>
          <t>kg/d</t>
        </is>
      </c>
      <c r="F12" t="inlineStr">
        <is>
          <t>study</t>
        </is>
      </c>
    </row>
    <row r="13">
      <c r="A13" t="inlineStr">
        <is>
          <t>IA-ESS-MEOH-CHG</t>
        </is>
      </c>
      <c r="B13" t="inlineStr">
        <is>
          <t>MEOH_SYNTH</t>
        </is>
      </c>
      <c r="C13" t="inlineStr">
        <is>
          <t>MEOH_TANK</t>
        </is>
      </c>
      <c r="F13" t="inlineStr">
        <is>
          <t>null</t>
        </is>
      </c>
    </row>
    <row r="14">
      <c r="A14" t="inlineStr">
        <is>
          <t>IA-ESS-MEOH-DIS</t>
        </is>
      </c>
      <c r="B14" t="inlineStr">
        <is>
          <t>MEOH_FC</t>
        </is>
      </c>
      <c r="C14" t="inlineStr">
        <is>
          <t>SOL_ARK_60K</t>
        </is>
      </c>
      <c r="F14" t="inlineStr">
        <is>
          <t>null</t>
        </is>
      </c>
    </row>
    <row r="15">
      <c r="A15" t="inlineStr">
        <is>
          <t>IA-FC-AIR</t>
        </is>
      </c>
      <c r="B15" t="inlineStr">
        <is>
          <t>HDR_O2</t>
        </is>
      </c>
      <c r="C15" t="inlineStr">
        <is>
          <t>MEOH_FC</t>
        </is>
      </c>
      <c r="D15" t="n">
        <v>9.407064</v>
      </c>
      <c r="E15" t="inlineStr">
        <is>
          <t>kg/d</t>
        </is>
      </c>
      <c r="F15" t="inlineStr">
        <is>
          <t>study</t>
        </is>
      </c>
    </row>
    <row r="16">
      <c r="A16" t="inlineStr">
        <is>
          <t>IA-FC-EXH</t>
        </is>
      </c>
      <c r="B16" t="inlineStr">
        <is>
          <t>MEOH_FC</t>
        </is>
      </c>
      <c r="C16" t="inlineStr">
        <is>
          <t>NOX_SCRUB</t>
        </is>
      </c>
      <c r="D16" t="n">
        <v>0</v>
      </c>
      <c r="E16" t="inlineStr">
        <is>
          <t>kg/d</t>
        </is>
      </c>
      <c r="F16" t="inlineStr">
        <is>
          <t>study</t>
        </is>
      </c>
    </row>
    <row r="17">
      <c r="A17" t="inlineStr">
        <is>
          <t>IA-FERM-DIG</t>
        </is>
      </c>
      <c r="B17" t="inlineStr">
        <is>
          <t>MEOH_FERM</t>
        </is>
      </c>
      <c r="C17" t="inlineStr">
        <is>
          <t>BLACK_DIGEST</t>
        </is>
      </c>
      <c r="D17" t="n">
        <v>0.3454</v>
      </c>
      <c r="E17" t="inlineStr">
        <is>
          <t>kg/d</t>
        </is>
      </c>
      <c r="F17" t="inlineStr">
        <is>
          <t>study</t>
        </is>
      </c>
    </row>
    <row r="18">
      <c r="A18" t="inlineStr">
        <is>
          <t>IA-HCO2-MEOH</t>
        </is>
      </c>
      <c r="B18" t="inlineStr">
        <is>
          <t>HDR_CO2</t>
        </is>
      </c>
      <c r="C18" t="inlineStr">
        <is>
          <t>MEOH_SYNTH</t>
        </is>
      </c>
      <c r="D18" t="n">
        <v>3.138638</v>
      </c>
      <c r="E18" t="inlineStr">
        <is>
          <t>kg/d</t>
        </is>
      </c>
      <c r="F18" t="inlineStr">
        <is>
          <t>study</t>
        </is>
      </c>
    </row>
    <row r="19">
      <c r="A19" t="inlineStr">
        <is>
          <t>IA-MEOH-COND</t>
        </is>
      </c>
      <c r="B19" t="inlineStr">
        <is>
          <t>MEOH_COND</t>
        </is>
      </c>
      <c r="C19" t="inlineStr">
        <is>
          <t>ROOF_TANK</t>
        </is>
      </c>
      <c r="D19" t="n">
        <v>26.720075</v>
      </c>
      <c r="E19" t="inlineStr">
        <is>
          <t>kg/d</t>
        </is>
      </c>
      <c r="F19" t="inlineStr">
        <is>
          <t>study</t>
        </is>
      </c>
    </row>
    <row r="20">
      <c r="A20" t="inlineStr">
        <is>
          <t>IA-MEOH-H2O</t>
        </is>
      </c>
      <c r="B20" t="inlineStr">
        <is>
          <t>MEOH_SYNTH</t>
        </is>
      </c>
      <c r="C20" t="inlineStr">
        <is>
          <t>MEOH_COND</t>
        </is>
      </c>
      <c r="D20" t="n">
        <v>19.469052</v>
      </c>
      <c r="E20" t="inlineStr">
        <is>
          <t>kg/d</t>
        </is>
      </c>
      <c r="F20" t="inlineStr">
        <is>
          <t>study</t>
        </is>
      </c>
    </row>
    <row r="21">
      <c r="A21" t="inlineStr">
        <is>
          <t>IA-MEOH-REST</t>
        </is>
      </c>
      <c r="B21" t="inlineStr">
        <is>
          <t>MEOH_TANK</t>
        </is>
      </c>
      <c r="C21" t="inlineStr">
        <is>
          <t>MEOH_FC</t>
        </is>
      </c>
      <c r="D21" t="n">
        <v>1.28</v>
      </c>
      <c r="E21" t="inlineStr">
        <is>
          <t>kg/d</t>
        </is>
      </c>
      <c r="F21" t="inlineStr">
        <is>
          <t>study</t>
        </is>
      </c>
    </row>
    <row r="22">
      <c r="A22" t="inlineStr">
        <is>
          <t>MEOH_TO_OLEFIN</t>
        </is>
      </c>
      <c r="B22" t="inlineStr">
        <is>
          <t>MEOH_SYNTH</t>
        </is>
      </c>
      <c r="C22" t="inlineStr">
        <is>
          <t>POLY_OLEFIN</t>
        </is>
      </c>
      <c r="D22" t="n">
        <v>0</v>
      </c>
      <c r="E22" t="inlineStr">
        <is>
          <t>kg/d</t>
        </is>
      </c>
      <c r="F22" t="inlineStr">
        <is>
          <t>study</t>
        </is>
      </c>
    </row>
    <row r="23">
      <c r="A23" t="inlineStr">
        <is>
          <t>MEOH_TO_TFE</t>
        </is>
      </c>
      <c r="B23" t="inlineStr">
        <is>
          <t>MEOH_TANK</t>
        </is>
      </c>
      <c r="C23" t="inlineStr">
        <is>
          <t>TFE_SYN</t>
        </is>
      </c>
      <c r="D23" t="n">
        <v>0.064071</v>
      </c>
      <c r="E23" t="inlineStr">
        <is>
          <t>kg/d</t>
        </is>
      </c>
      <c r="F23" t="inlineStr">
        <is>
          <t>study</t>
        </is>
      </c>
    </row>
    <row r="24">
      <c r="A24" t="inlineStr">
        <is>
          <t>MEOH_TO_VDF</t>
        </is>
      </c>
      <c r="B24" t="inlineStr">
        <is>
          <t>MEOH_TANK</t>
        </is>
      </c>
      <c r="C24" t="inlineStr">
        <is>
          <t>VDF_SYN</t>
        </is>
      </c>
      <c r="D24" t="n">
        <v>0.150117</v>
      </c>
      <c r="E24" t="inlineStr">
        <is>
          <t>kg/d</t>
        </is>
      </c>
      <c r="F24" t="inlineStr">
        <is>
          <t>study</t>
        </is>
      </c>
    </row>
    <row r="25">
      <c r="A25" t="inlineStr">
        <is>
          <t>S73</t>
        </is>
      </c>
      <c r="B25" t="inlineStr">
        <is>
          <t>CRYO_CO2</t>
        </is>
      </c>
      <c r="C25" t="inlineStr">
        <is>
          <t>MEOH_SYNTH</t>
        </is>
      </c>
      <c r="D25" t="n">
        <v>44.423559</v>
      </c>
      <c r="E25" t="inlineStr">
        <is>
          <t>kg/d</t>
        </is>
      </c>
      <c r="F25" t="inlineStr">
        <is>
          <t>study</t>
        </is>
      </c>
    </row>
    <row r="26">
      <c r="A26" t="inlineStr">
        <is>
          <t>S74</t>
        </is>
      </c>
      <c r="B26" t="inlineStr">
        <is>
          <t>CRYO_H2</t>
        </is>
      </c>
      <c r="C26" t="inlineStr">
        <is>
          <t>MEOH_SYNTH</t>
        </is>
      </c>
      <c r="D26" t="n">
        <v>6.536155</v>
      </c>
      <c r="E26" t="inlineStr">
        <is>
          <t>kg/d</t>
        </is>
      </c>
      <c r="F26" t="inlineStr">
        <is>
          <t>study</t>
        </is>
      </c>
    </row>
    <row r="27">
      <c r="A27" t="inlineStr">
        <is>
          <t>S75</t>
        </is>
      </c>
      <c r="B27" t="inlineStr">
        <is>
          <t>MEOH_SYNTH</t>
        </is>
      </c>
      <c r="C27" t="inlineStr">
        <is>
          <t>MEOH_TANK</t>
        </is>
      </c>
      <c r="D27" t="n">
        <v>34.6293</v>
      </c>
      <c r="E27" t="inlineStr">
        <is>
          <t>kg/d</t>
        </is>
      </c>
      <c r="F27" t="inlineStr">
        <is>
          <t>study</t>
        </is>
      </c>
    </row>
    <row r="28">
      <c r="A28" t="inlineStr">
        <is>
          <t>S76</t>
        </is>
      </c>
      <c r="B28" t="inlineStr">
        <is>
          <t>MEOH_TANK</t>
        </is>
      </c>
      <c r="C28" t="inlineStr">
        <is>
          <t>MEOH_FC</t>
        </is>
      </c>
      <c r="D28" t="n">
        <v>5</v>
      </c>
      <c r="E28" t="inlineStr">
        <is>
          <t>kg/d</t>
        </is>
      </c>
      <c r="F28" t="inlineStr">
        <is>
          <t>study</t>
        </is>
      </c>
    </row>
    <row r="29">
      <c r="A29" t="inlineStr">
        <is>
          <t>S77</t>
        </is>
      </c>
      <c r="B29" t="inlineStr">
        <is>
          <t>MEOH_FERM</t>
        </is>
      </c>
      <c r="C29" t="inlineStr">
        <is>
          <t>MEOH_TANK</t>
        </is>
      </c>
      <c r="D29" t="n">
        <v>0.0146</v>
      </c>
      <c r="E29" t="inlineStr">
        <is>
          <t>kg/d</t>
        </is>
      </c>
      <c r="F29" t="inlineStr">
        <is>
          <t>study</t>
        </is>
      </c>
    </row>
    <row r="30">
      <c r="A30" t="inlineStr">
        <is>
          <t>S78</t>
        </is>
      </c>
      <c r="B30" t="inlineStr">
        <is>
          <t>HABITATION</t>
        </is>
      </c>
      <c r="C30" t="inlineStr">
        <is>
          <t>MEOH_FERM</t>
        </is>
      </c>
      <c r="D30" t="n">
        <v>0.36</v>
      </c>
      <c r="E30" t="inlineStr">
        <is>
          <t>kg/d</t>
        </is>
      </c>
      <c r="F30" t="inlineStr">
        <is>
          <t>study</t>
        </is>
      </c>
    </row>
    <row r="31">
      <c r="A31" t="inlineStr">
        <is>
          <t>S79</t>
        </is>
      </c>
      <c r="B31" t="inlineStr">
        <is>
          <t>MEOH_FC</t>
        </is>
      </c>
      <c r="C31" t="inlineStr">
        <is>
          <t>SOL_ARK_60K</t>
        </is>
      </c>
      <c r="D31" t="n">
        <v>1</v>
      </c>
      <c r="E31" t="inlineStr">
        <is>
          <t>kW</t>
        </is>
      </c>
      <c r="F31" t="inlineStr">
        <is>
          <t>study</t>
        </is>
      </c>
    </row>
    <row r="32">
      <c r="A32" t="inlineStr">
        <is>
          <t>S80</t>
        </is>
      </c>
      <c r="B32" t="inlineStr">
        <is>
          <t>MEOH_FC</t>
        </is>
      </c>
      <c r="C32" t="inlineStr">
        <is>
          <t>Q4_BUS</t>
        </is>
      </c>
      <c r="D32" t="n">
        <v>0.3689</v>
      </c>
      <c r="E32" t="inlineStr">
        <is>
          <t>kW</t>
        </is>
      </c>
      <c r="F32" t="inlineStr">
        <is>
          <t>study</t>
        </is>
      </c>
    </row>
    <row r="33">
      <c r="A33" t="inlineStr">
        <is>
          <t>S81</t>
        </is>
      </c>
      <c r="B33" t="inlineStr">
        <is>
          <t>MEOH_FC</t>
        </is>
      </c>
      <c r="C33" t="inlineStr">
        <is>
          <t>MEOH_COND</t>
        </is>
      </c>
      <c r="D33" t="n">
        <v>7.251023</v>
      </c>
      <c r="E33" t="inlineStr">
        <is>
          <t>kg/d</t>
        </is>
      </c>
      <c r="F33" t="inlineStr">
        <is>
          <t>study</t>
        </is>
      </c>
    </row>
    <row r="34">
      <c r="A34" t="inlineStr">
        <is>
          <t>S82</t>
        </is>
      </c>
      <c r="B34" t="inlineStr">
        <is>
          <t>MEOH_FC</t>
        </is>
      </c>
      <c r="C34" t="inlineStr">
        <is>
          <t>CRYO_CO2</t>
        </is>
      </c>
      <c r="D34" t="n">
        <v>8.625641</v>
      </c>
      <c r="E34" t="inlineStr">
        <is>
          <t>kg/d</t>
        </is>
      </c>
      <c r="F34" t="inlineStr">
        <is>
          <t>study</t>
        </is>
      </c>
    </row>
    <row r="35">
      <c r="A35" t="inlineStr">
        <is>
          <t>SF-MEOH_FERM</t>
        </is>
      </c>
      <c r="B35" t="inlineStr">
        <is>
          <t>SOL_ARK_60K</t>
        </is>
      </c>
      <c r="C35" t="inlineStr">
        <is>
          <t>MEOH_FERM</t>
        </is>
      </c>
      <c r="D35" t="n">
        <v>0.0207</v>
      </c>
      <c r="E35" t="inlineStr">
        <is>
          <t>kW</t>
        </is>
      </c>
      <c r="F35" t="inlineStr">
        <is>
          <t>study</t>
        </is>
      </c>
    </row>
    <row r="36">
      <c r="A36" t="inlineStr">
        <is>
          <t>SF-MEOH_SYNTH</t>
        </is>
      </c>
      <c r="B36" t="inlineStr">
        <is>
          <t>SOL_ARK_60K</t>
        </is>
      </c>
      <c r="C36" t="inlineStr">
        <is>
          <t>MEOH_SYNTH</t>
        </is>
      </c>
      <c r="D36" t="n">
        <v>0.7388</v>
      </c>
      <c r="E36" t="inlineStr">
        <is>
          <t>kW</t>
        </is>
      </c>
      <c r="F36" t="inlineStr">
        <is>
          <t>study</t>
        </is>
      </c>
    </row>
  </sheetData>
  <autoFilter ref="A1:H6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8" customWidth="1" min="3" max="3"/>
    <col width="10" customWidth="1" min="4" max="4"/>
    <col width="12" customWidth="1" min="5" max="5"/>
    <col width="16" customWidth="1" min="6" max="6"/>
    <col width="9" customWidth="1" min="7" max="7"/>
    <col width="13" customWidth="1" min="8" max="8"/>
  </cols>
  <sheetData>
    <row r="1">
      <c r="A1" s="3" t="inlineStr">
        <is>
          <t>unit_id</t>
        </is>
      </c>
      <c r="B1" s="3" t="inlineStr">
        <is>
          <t>continuous_kw</t>
        </is>
      </c>
      <c r="C1" s="3" t="inlineStr">
        <is>
          <t>kw_unit</t>
        </is>
      </c>
      <c r="D1" s="3" t="inlineStr">
        <is>
          <t>kw_status</t>
        </is>
      </c>
      <c r="E1" s="3" t="inlineStr">
        <is>
          <t>presence</t>
        </is>
      </c>
      <c r="F1" s="3" t="inlineStr">
        <is>
          <t>class</t>
        </is>
      </c>
      <c r="G1" s="3" t="inlineStr">
        <is>
          <t>enabled</t>
        </is>
      </c>
      <c r="H1" s="3" t="inlineStr">
        <is>
          <t>graph_sector</t>
        </is>
      </c>
    </row>
    <row r="2">
      <c r="A2" t="inlineStr">
        <is>
          <t>HYDRO_SET</t>
        </is>
      </c>
      <c r="B2" s="8" t="n"/>
      <c r="C2" t="inlineStr">
        <is>
          <t>kW</t>
        </is>
      </c>
      <c r="D2" t="inlineStr">
        <is>
          <t>study</t>
        </is>
      </c>
      <c r="E2" t="inlineStr">
        <is>
          <t>present</t>
        </is>
      </c>
      <c r="F2" t="inlineStr">
        <is>
          <t>hydro</t>
        </is>
      </c>
      <c r="G2" t="b">
        <v>1</v>
      </c>
      <c r="H2" t="inlineStr">
        <is>
          <t>PUMPED_HYDRO</t>
        </is>
      </c>
    </row>
    <row r="4">
      <c r="A4" s="1" t="inlineStr">
        <is>
          <t>SUBTOTAL continuous kW (SUM)</t>
        </is>
      </c>
      <c r="B4" s="10">
        <f>SUM(B2:B2)</f>
        <v/>
      </c>
    </row>
    <row r="6">
      <c r="A6" s="9" t="inlineStr">
        <is>
          <t>EDGES TOUCHING THIS SECTOR (from or to)</t>
        </is>
      </c>
    </row>
    <row r="7">
      <c r="A7" s="3" t="inlineStr">
        <is>
          <t>stream_id</t>
        </is>
      </c>
      <c r="B7" s="3" t="inlineStr">
        <is>
          <t>from_unit</t>
        </is>
      </c>
      <c r="C7" s="3" t="inlineStr">
        <is>
          <t>to_unit</t>
        </is>
      </c>
      <c r="D7" s="3" t="inlineStr">
        <is>
          <t>rate</t>
        </is>
      </c>
      <c r="E7" s="3" t="inlineStr">
        <is>
          <t>unit</t>
        </is>
      </c>
      <c r="F7" s="3" t="inlineStr">
        <is>
          <t>status</t>
        </is>
      </c>
    </row>
    <row r="8">
      <c r="A8" t="inlineStr">
        <is>
          <t>IA-ESS-HYDRO-ELEC</t>
        </is>
      </c>
      <c r="B8" t="inlineStr">
        <is>
          <t>HYDRO_SET</t>
        </is>
      </c>
      <c r="C8" t="inlineStr">
        <is>
          <t>SOL_ARK_60K</t>
        </is>
      </c>
      <c r="D8" t="n">
        <v>0</v>
      </c>
      <c r="E8" t="inlineStr">
        <is>
          <t>kW</t>
        </is>
      </c>
      <c r="F8" t="inlineStr">
        <is>
          <t>study</t>
        </is>
      </c>
    </row>
  </sheetData>
  <autoFilter ref="A1:H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8" customWidth="1" min="3" max="3"/>
    <col width="10" customWidth="1" min="4" max="4"/>
    <col width="12" customWidth="1" min="5" max="5"/>
    <col width="16" customWidth="1" min="6" max="6"/>
    <col width="9" customWidth="1" min="7" max="7"/>
    <col width="13" customWidth="1" min="8" max="8"/>
  </cols>
  <sheetData>
    <row r="1">
      <c r="A1" s="3" t="inlineStr">
        <is>
          <t>unit_id</t>
        </is>
      </c>
      <c r="B1" s="3" t="inlineStr">
        <is>
          <t>continuous_kw</t>
        </is>
      </c>
      <c r="C1" s="3" t="inlineStr">
        <is>
          <t>kw_unit</t>
        </is>
      </c>
      <c r="D1" s="3" t="inlineStr">
        <is>
          <t>kw_status</t>
        </is>
      </c>
      <c r="E1" s="3" t="inlineStr">
        <is>
          <t>presence</t>
        </is>
      </c>
      <c r="F1" s="3" t="inlineStr">
        <is>
          <t>class</t>
        </is>
      </c>
      <c r="G1" s="3" t="inlineStr">
        <is>
          <t>enabled</t>
        </is>
      </c>
      <c r="H1" s="3" t="inlineStr">
        <is>
          <t>graph_sector</t>
        </is>
      </c>
    </row>
    <row r="2">
      <c r="A2" t="inlineStr">
        <is>
          <t>GEO_GHEX</t>
        </is>
      </c>
      <c r="E2" t="inlineStr">
        <is>
          <t>present</t>
        </is>
      </c>
      <c r="F2" t="inlineStr">
        <is>
          <t>ghex</t>
        </is>
      </c>
      <c r="G2" t="b">
        <v>1</v>
      </c>
      <c r="H2" t="inlineStr">
        <is>
          <t>GEO</t>
        </is>
      </c>
    </row>
    <row r="3">
      <c r="A3" t="inlineStr">
        <is>
          <t>GEO_HP</t>
        </is>
      </c>
      <c r="B3" s="8" t="n">
        <v>0.6860000000000001</v>
      </c>
      <c r="C3" t="inlineStr">
        <is>
          <t>kW</t>
        </is>
      </c>
      <c r="D3" t="inlineStr">
        <is>
          <t>study</t>
        </is>
      </c>
      <c r="E3" t="inlineStr">
        <is>
          <t>present</t>
        </is>
      </c>
      <c r="F3" t="inlineStr">
        <is>
          <t>heat_pump</t>
        </is>
      </c>
      <c r="G3" t="b">
        <v>1</v>
      </c>
      <c r="H3" t="inlineStr">
        <is>
          <t>GEO</t>
        </is>
      </c>
    </row>
    <row r="4">
      <c r="A4" t="inlineStr">
        <is>
          <t>GEO_HP_CLOSED_LOOP</t>
        </is>
      </c>
      <c r="E4" t="inlineStr">
        <is>
          <t>present</t>
        </is>
      </c>
      <c r="G4" t="b">
        <v>1</v>
      </c>
      <c r="H4" t="inlineStr">
        <is>
          <t>GEO</t>
        </is>
      </c>
    </row>
    <row r="5">
      <c r="A5" t="inlineStr">
        <is>
          <t>GEO_ORC</t>
        </is>
      </c>
      <c r="B5" s="8" t="n"/>
      <c r="C5" t="inlineStr">
        <is>
          <t>kW</t>
        </is>
      </c>
      <c r="D5" t="inlineStr">
        <is>
          <t>study</t>
        </is>
      </c>
      <c r="E5" t="inlineStr">
        <is>
          <t>placeholder</t>
        </is>
      </c>
      <c r="F5" t="inlineStr">
        <is>
          <t>orc</t>
        </is>
      </c>
      <c r="G5" t="b">
        <v>1</v>
      </c>
      <c r="H5" t="inlineStr">
        <is>
          <t>GEO</t>
        </is>
      </c>
    </row>
    <row r="7">
      <c r="A7" s="1" t="inlineStr">
        <is>
          <t>SUBTOTAL continuous kW (SUM)</t>
        </is>
      </c>
      <c r="B7" s="10">
        <f>SUM(B2:B5)</f>
        <v/>
      </c>
    </row>
    <row r="9">
      <c r="A9" s="9" t="inlineStr">
        <is>
          <t>EDGES TOUCHING THIS SECTOR (from or to)</t>
        </is>
      </c>
    </row>
    <row r="10">
      <c r="A10" s="3" t="inlineStr">
        <is>
          <t>stream_id</t>
        </is>
      </c>
      <c r="B10" s="3" t="inlineStr">
        <is>
          <t>from_unit</t>
        </is>
      </c>
      <c r="C10" s="3" t="inlineStr">
        <is>
          <t>to_unit</t>
        </is>
      </c>
      <c r="D10" s="3" t="inlineStr">
        <is>
          <t>rate</t>
        </is>
      </c>
      <c r="E10" s="3" t="inlineStr">
        <is>
          <t>unit</t>
        </is>
      </c>
      <c r="F10" s="3" t="inlineStr">
        <is>
          <t>status</t>
        </is>
      </c>
    </row>
    <row r="11">
      <c r="A11" t="inlineStr">
        <is>
          <t>IA-BMED-03-TRIM</t>
        </is>
      </c>
      <c r="B11" t="inlineStr">
        <is>
          <t>LEACH_CSTR_1</t>
        </is>
      </c>
      <c r="C11" t="inlineStr">
        <is>
          <t>GEO_GHEX</t>
        </is>
      </c>
      <c r="D11" t="n">
        <v>0.78</v>
      </c>
      <c r="E11" t="inlineStr">
        <is>
          <t>kW</t>
        </is>
      </c>
      <c r="F11" t="inlineStr">
        <is>
          <t>study</t>
        </is>
      </c>
    </row>
    <row r="12">
      <c r="A12" t="inlineStr">
        <is>
          <t>IA-BMED-04-TRIM</t>
        </is>
      </c>
      <c r="B12" t="inlineStr">
        <is>
          <t>LEACH_CSTR_1</t>
        </is>
      </c>
      <c r="C12" t="inlineStr">
        <is>
          <t>GEO_GHEX</t>
        </is>
      </c>
      <c r="D12" t="n">
        <v>1.027</v>
      </c>
      <c r="E12" t="inlineStr">
        <is>
          <t>kW</t>
        </is>
      </c>
      <c r="F12" t="inlineStr">
        <is>
          <t>study</t>
        </is>
      </c>
    </row>
    <row r="13">
      <c r="A13" t="inlineStr">
        <is>
          <t>S43</t>
        </is>
      </c>
      <c r="B13" t="inlineStr">
        <is>
          <t>GEO_GHEX</t>
        </is>
      </c>
      <c r="C13" t="inlineStr">
        <is>
          <t>GEO_HP_CLOSED_LOOP</t>
        </is>
      </c>
      <c r="D13" t="n">
        <v>0</v>
      </c>
      <c r="E13" t="inlineStr">
        <is>
          <t>kW</t>
        </is>
      </c>
      <c r="F13" t="inlineStr">
        <is>
          <t>study</t>
        </is>
      </c>
    </row>
    <row r="14">
      <c r="A14" t="inlineStr">
        <is>
          <t>S44</t>
        </is>
      </c>
      <c r="B14" t="inlineStr">
        <is>
          <t>GEO_HP</t>
        </is>
      </c>
      <c r="C14" t="inlineStr">
        <is>
          <t>Q4_BUS</t>
        </is>
      </c>
      <c r="D14" t="n">
        <v>2.1952</v>
      </c>
      <c r="E14" t="inlineStr">
        <is>
          <t>kW</t>
        </is>
      </c>
      <c r="F14" t="inlineStr">
        <is>
          <t>study</t>
        </is>
      </c>
    </row>
    <row r="15">
      <c r="A15" t="inlineStr">
        <is>
          <t>S48</t>
        </is>
      </c>
      <c r="B15" t="inlineStr">
        <is>
          <t>GEO_ORC</t>
        </is>
      </c>
      <c r="C15" t="inlineStr">
        <is>
          <t>SOL_ARK_60K</t>
        </is>
      </c>
      <c r="F15" t="inlineStr">
        <is>
          <t>null</t>
        </is>
      </c>
    </row>
    <row r="16">
      <c r="A16" t="inlineStr">
        <is>
          <t>SF-GEO_HP</t>
        </is>
      </c>
      <c r="B16" t="inlineStr">
        <is>
          <t>SOL_ARK_60K</t>
        </is>
      </c>
      <c r="C16" t="inlineStr">
        <is>
          <t>GEO_HP</t>
        </is>
      </c>
      <c r="D16" t="n">
        <v>0.6860000000000001</v>
      </c>
      <c r="E16" t="inlineStr">
        <is>
          <t>kW</t>
        </is>
      </c>
      <c r="F16" t="inlineStr">
        <is>
          <t>study</t>
        </is>
      </c>
    </row>
    <row r="17">
      <c r="A17" t="inlineStr">
        <is>
          <t>SQ-EVAP_ACID</t>
        </is>
      </c>
      <c r="B17" t="inlineStr">
        <is>
          <t>EVAP_ACID</t>
        </is>
      </c>
      <c r="C17" t="inlineStr">
        <is>
          <t>HEAT_SINK</t>
        </is>
      </c>
      <c r="D17" t="n">
        <v>1.498</v>
      </c>
      <c r="E17" t="inlineStr">
        <is>
          <t>kW</t>
        </is>
      </c>
      <c r="F17" t="inlineStr">
        <is>
          <t>study</t>
        </is>
      </c>
    </row>
    <row r="18">
      <c r="A18" t="inlineStr">
        <is>
          <t>SQ-EVAP_ACID_VS</t>
        </is>
      </c>
      <c r="B18" t="inlineStr">
        <is>
          <t>EVAP_ACID_VS</t>
        </is>
      </c>
      <c r="C18" t="inlineStr">
        <is>
          <t>HEAT_SINK</t>
        </is>
      </c>
      <c r="D18" t="n">
        <v>0.0238</v>
      </c>
      <c r="E18" t="inlineStr">
        <is>
          <t>kW</t>
        </is>
      </c>
      <c r="F18" t="inlineStr">
        <is>
          <t>study</t>
        </is>
      </c>
    </row>
    <row r="19">
      <c r="A19" t="inlineStr">
        <is>
          <t>SQ-EVAP_BASE</t>
        </is>
      </c>
      <c r="B19" t="inlineStr">
        <is>
          <t>EVAP_BASE</t>
        </is>
      </c>
      <c r="C19" t="inlineStr">
        <is>
          <t>HEAT_SINK</t>
        </is>
      </c>
      <c r="D19" t="n">
        <v>1.328</v>
      </c>
      <c r="E19" t="inlineStr">
        <is>
          <t>kW</t>
        </is>
      </c>
      <c r="F19" t="inlineStr">
        <is>
          <t>study</t>
        </is>
      </c>
    </row>
  </sheetData>
  <autoFilter ref="A1:H5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8" customWidth="1" min="3" max="3"/>
    <col width="10" customWidth="1" min="4" max="4"/>
    <col width="12" customWidth="1" min="5" max="5"/>
    <col width="16" customWidth="1" min="6" max="6"/>
    <col width="9" customWidth="1" min="7" max="7"/>
    <col width="13" customWidth="1" min="8" max="8"/>
  </cols>
  <sheetData>
    <row r="1">
      <c r="A1" s="3" t="inlineStr">
        <is>
          <t>unit_id</t>
        </is>
      </c>
      <c r="B1" s="3" t="inlineStr">
        <is>
          <t>continuous_kw</t>
        </is>
      </c>
      <c r="C1" s="3" t="inlineStr">
        <is>
          <t>kw_unit</t>
        </is>
      </c>
      <c r="D1" s="3" t="inlineStr">
        <is>
          <t>kw_status</t>
        </is>
      </c>
      <c r="E1" s="3" t="inlineStr">
        <is>
          <t>presence</t>
        </is>
      </c>
      <c r="F1" s="3" t="inlineStr">
        <is>
          <t>class</t>
        </is>
      </c>
      <c r="G1" s="3" t="inlineStr">
        <is>
          <t>enabled</t>
        </is>
      </c>
      <c r="H1" s="3" t="inlineStr">
        <is>
          <t>graph_sector</t>
        </is>
      </c>
    </row>
    <row r="2">
      <c r="A2" t="inlineStr">
        <is>
          <t>BOUNDARY_EXPORT</t>
        </is>
      </c>
      <c r="E2" t="inlineStr">
        <is>
          <t>present</t>
        </is>
      </c>
      <c r="F2" t="inlineStr">
        <is>
          <t>boundary</t>
        </is>
      </c>
      <c r="G2" t="b">
        <v>1</v>
      </c>
      <c r="H2" t="inlineStr">
        <is>
          <t>DOCK</t>
        </is>
      </c>
    </row>
    <row r="3">
      <c r="A3" t="inlineStr">
        <is>
          <t>NORTH_DOCK</t>
        </is>
      </c>
      <c r="E3" t="inlineStr">
        <is>
          <t>present</t>
        </is>
      </c>
      <c r="F3" t="inlineStr">
        <is>
          <t>boundary</t>
        </is>
      </c>
      <c r="G3" t="b">
        <v>1</v>
      </c>
      <c r="H3" t="inlineStr">
        <is>
          <t>DOCK</t>
        </is>
      </c>
    </row>
    <row r="5">
      <c r="A5" s="1" t="inlineStr">
        <is>
          <t>SUBTOTAL continuous kW (SUM)</t>
        </is>
      </c>
      <c r="B5" s="10">
        <f>SUM(B2:B3)</f>
        <v/>
      </c>
    </row>
    <row r="7">
      <c r="A7" s="9" t="inlineStr">
        <is>
          <t>EDGES TOUCHING THIS SECTOR (from or to)</t>
        </is>
      </c>
    </row>
    <row r="8">
      <c r="A8" s="3" t="inlineStr">
        <is>
          <t>stream_id</t>
        </is>
      </c>
      <c r="B8" s="3" t="inlineStr">
        <is>
          <t>from_unit</t>
        </is>
      </c>
      <c r="C8" s="3" t="inlineStr">
        <is>
          <t>to_unit</t>
        </is>
      </c>
      <c r="D8" s="3" t="inlineStr">
        <is>
          <t>rate</t>
        </is>
      </c>
      <c r="E8" s="3" t="inlineStr">
        <is>
          <t>unit</t>
        </is>
      </c>
      <c r="F8" s="3" t="inlineStr">
        <is>
          <t>status</t>
        </is>
      </c>
    </row>
    <row r="9">
      <c r="A9" t="inlineStr">
        <is>
          <t>DOCK_EXPORT_TBD</t>
        </is>
      </c>
      <c r="B9" t="inlineStr">
        <is>
          <t>NORTH_DOCK</t>
        </is>
      </c>
      <c r="C9" t="inlineStr">
        <is>
          <t>BOUNDARY_EXPORT</t>
        </is>
      </c>
      <c r="D9" t="n">
        <v>0</v>
      </c>
      <c r="E9" t="inlineStr">
        <is>
          <t>kg/d</t>
        </is>
      </c>
      <c r="F9" t="inlineStr">
        <is>
          <t>study</t>
        </is>
      </c>
    </row>
    <row r="10">
      <c r="A10" t="inlineStr">
        <is>
          <t>IA-AIR-IN</t>
        </is>
      </c>
      <c r="B10" t="inlineStr">
        <is>
          <t>NORTH_DOCK</t>
        </is>
      </c>
      <c r="C10" t="inlineStr">
        <is>
          <t>CRYO_ASU</t>
        </is>
      </c>
      <c r="D10" t="n">
        <v>0</v>
      </c>
      <c r="E10" t="inlineStr">
        <is>
          <t>kg/d</t>
        </is>
      </c>
      <c r="F10" t="inlineStr">
        <is>
          <t>study</t>
        </is>
      </c>
    </row>
    <row r="11">
      <c r="A11" t="inlineStr">
        <is>
          <t>IA-ALCL3-MU</t>
        </is>
      </c>
      <c r="B11" t="inlineStr">
        <is>
          <t>NORTH_DOCK</t>
        </is>
      </c>
      <c r="C11" t="inlineStr">
        <is>
          <t>AL_POT</t>
        </is>
      </c>
      <c r="D11" t="n">
        <v>49.419232</v>
      </c>
      <c r="E11" t="inlineStr">
        <is>
          <t>kg/d</t>
        </is>
      </c>
      <c r="F11" t="inlineStr">
        <is>
          <t>study</t>
        </is>
      </c>
    </row>
    <row r="12">
      <c r="A12" t="inlineStr">
        <is>
          <t>IA-BURNOUT-VENT</t>
        </is>
      </c>
      <c r="B12" t="inlineStr">
        <is>
          <t>SHELL_BURNOUT</t>
        </is>
      </c>
      <c r="C12" t="inlineStr">
        <is>
          <t>NORTH_DOCK</t>
        </is>
      </c>
      <c r="D12" t="n">
        <v>0.2</v>
      </c>
      <c r="E12" t="inlineStr">
        <is>
          <t>kg/d</t>
        </is>
      </c>
      <c r="F12" t="inlineStr">
        <is>
          <t>study</t>
        </is>
      </c>
    </row>
    <row r="13">
      <c r="A13" t="inlineStr">
        <is>
          <t>IA-C-CR</t>
        </is>
      </c>
      <c r="B13" t="inlineStr">
        <is>
          <t>NORTH_DOCK</t>
        </is>
      </c>
      <c r="C13" t="inlineStr">
        <is>
          <t>CR_CELL</t>
        </is>
      </c>
      <c r="D13" t="n">
        <v>0.08662400000000001</v>
      </c>
      <c r="E13" t="inlineStr">
        <is>
          <t>kg/d</t>
        </is>
      </c>
      <c r="F13" t="inlineStr">
        <is>
          <t>study</t>
        </is>
      </c>
    </row>
    <row r="14">
      <c r="A14" t="inlineStr">
        <is>
          <t>IA-C-MO</t>
        </is>
      </c>
      <c r="B14" t="inlineStr">
        <is>
          <t>NORTH_DOCK</t>
        </is>
      </c>
      <c r="C14" t="inlineStr">
        <is>
          <t>MO_CELL</t>
        </is>
      </c>
      <c r="D14" t="n">
        <v>0.011736</v>
      </c>
      <c r="E14" t="inlineStr">
        <is>
          <t>kg/d</t>
        </is>
      </c>
      <c r="F14" t="inlineStr">
        <is>
          <t>study</t>
        </is>
      </c>
    </row>
    <row r="15">
      <c r="A15" t="inlineStr">
        <is>
          <t>IA-C-TI</t>
        </is>
      </c>
      <c r="B15" t="inlineStr">
        <is>
          <t>NORTH_DOCK</t>
        </is>
      </c>
      <c r="C15" t="inlineStr">
        <is>
          <t>TI_CELL</t>
        </is>
      </c>
      <c r="D15" t="n">
        <v>0.250924</v>
      </c>
      <c r="E15" t="inlineStr">
        <is>
          <t>kg/d</t>
        </is>
      </c>
      <c r="F15" t="inlineStr">
        <is>
          <t>study</t>
        </is>
      </c>
    </row>
    <row r="16">
      <c r="A16" t="inlineStr">
        <is>
          <t>IA-C11-SHIP</t>
        </is>
      </c>
      <c r="B16" t="inlineStr">
        <is>
          <t>PROD_C11_C18</t>
        </is>
      </c>
      <c r="C16" t="inlineStr">
        <is>
          <t>NORTH_DOCK</t>
        </is>
      </c>
      <c r="D16" t="n">
        <v>1.511662</v>
      </c>
      <c r="E16" t="inlineStr">
        <is>
          <t>kg/d</t>
        </is>
      </c>
      <c r="F16" t="inlineStr">
        <is>
          <t>study</t>
        </is>
      </c>
    </row>
    <row r="17">
      <c r="A17" t="inlineStr">
        <is>
          <t>IA-C19-SHIP</t>
        </is>
      </c>
      <c r="B17" t="inlineStr">
        <is>
          <t>PROD_C19_C28</t>
        </is>
      </c>
      <c r="C17" t="inlineStr">
        <is>
          <t>NORTH_DOCK</t>
        </is>
      </c>
      <c r="D17" t="n">
        <v>2.218146</v>
      </c>
      <c r="E17" t="inlineStr">
        <is>
          <t>kg/d</t>
        </is>
      </c>
      <c r="F17" t="inlineStr">
        <is>
          <t>study</t>
        </is>
      </c>
    </row>
    <row r="18">
      <c r="A18" t="inlineStr">
        <is>
          <t>IA-C5-SHIP</t>
        </is>
      </c>
      <c r="B18" t="inlineStr">
        <is>
          <t>PROD_C5_C10</t>
        </is>
      </c>
      <c r="C18" t="inlineStr">
        <is>
          <t>NORTH_DOCK</t>
        </is>
      </c>
      <c r="D18" t="n">
        <v>7.07675</v>
      </c>
      <c r="E18" t="inlineStr">
        <is>
          <t>kg/d</t>
        </is>
      </c>
      <c r="F18" t="inlineStr">
        <is>
          <t>study</t>
        </is>
      </c>
    </row>
    <row r="19">
      <c r="A19" t="inlineStr">
        <is>
          <t>IA-CA-CL2-SHIP</t>
        </is>
      </c>
      <c r="B19" t="inlineStr">
        <is>
          <t>CA_POT</t>
        </is>
      </c>
      <c r="C19" t="inlineStr">
        <is>
          <t>NORTH_DOCK</t>
        </is>
      </c>
      <c r="D19" t="n">
        <v>0.097428</v>
      </c>
      <c r="E19" t="inlineStr">
        <is>
          <t>kg/d</t>
        </is>
      </c>
      <c r="F19" t="inlineStr">
        <is>
          <t>study</t>
        </is>
      </c>
    </row>
    <row r="20">
      <c r="A20" t="inlineStr">
        <is>
          <t>IA-CACL2-MU</t>
        </is>
      </c>
      <c r="B20" t="inlineStr">
        <is>
          <t>NORTH_DOCK</t>
        </is>
      </c>
      <c r="C20" t="inlineStr">
        <is>
          <t>CA_POT</t>
        </is>
      </c>
      <c r="D20" t="n">
        <v>0.152497</v>
      </c>
      <c r="E20" t="inlineStr">
        <is>
          <t>kg/d</t>
        </is>
      </c>
      <c r="F20" t="inlineStr">
        <is>
          <t>study</t>
        </is>
      </c>
    </row>
    <row r="21">
      <c r="A21" t="inlineStr">
        <is>
          <t>IA-CAF2-MU</t>
        </is>
      </c>
      <c r="B21" t="inlineStr">
        <is>
          <t>NORTH_DOCK</t>
        </is>
      </c>
      <c r="C21" t="inlineStr">
        <is>
          <t>HF_GEN</t>
        </is>
      </c>
      <c r="D21" t="n">
        <v>0.32554</v>
      </c>
      <c r="E21" t="inlineStr">
        <is>
          <t>kg/d</t>
        </is>
      </c>
      <c r="F21" t="inlineStr">
        <is>
          <t>study</t>
        </is>
      </c>
    </row>
    <row r="22">
      <c r="A22" t="inlineStr">
        <is>
          <t>IA-CL2-MG-TI</t>
        </is>
      </c>
      <c r="B22" t="inlineStr">
        <is>
          <t>MG_POT</t>
        </is>
      </c>
      <c r="C22" t="inlineStr">
        <is>
          <t>TI_CELL</t>
        </is>
      </c>
      <c r="D22" t="n">
        <v>1.481313</v>
      </c>
      <c r="E22" t="inlineStr">
        <is>
          <t>kg/d</t>
        </is>
      </c>
      <c r="F22" t="inlineStr">
        <is>
          <t>study</t>
        </is>
      </c>
    </row>
    <row r="23">
      <c r="A23" t="inlineStr">
        <is>
          <t>IA-CL2-SHIP</t>
        </is>
      </c>
      <c r="B23" t="inlineStr">
        <is>
          <t>AL_POT</t>
        </is>
      </c>
      <c r="C23" t="inlineStr">
        <is>
          <t>NORTH_DOCK</t>
        </is>
      </c>
      <c r="D23" t="n">
        <v>39.419232</v>
      </c>
      <c r="E23" t="inlineStr">
        <is>
          <t>kg/d</t>
        </is>
      </c>
      <c r="F23" t="inlineStr">
        <is>
          <t>study</t>
        </is>
      </c>
    </row>
    <row r="24">
      <c r="A24" t="inlineStr">
        <is>
          <t>IA-CR-VENT</t>
        </is>
      </c>
      <c r="B24" t="inlineStr">
        <is>
          <t>CR_CELL</t>
        </is>
      </c>
      <c r="C24" t="inlineStr">
        <is>
          <t>NORTH_DOCK</t>
        </is>
      </c>
      <c r="D24" t="n">
        <v>0.202013</v>
      </c>
      <c r="E24" t="inlineStr">
        <is>
          <t>kg/d</t>
        </is>
      </c>
      <c r="F24" t="inlineStr">
        <is>
          <t>study</t>
        </is>
      </c>
    </row>
    <row r="25">
      <c r="A25" t="inlineStr">
        <is>
          <t>IA-CR2O3-MU</t>
        </is>
      </c>
      <c r="B25" t="inlineStr">
        <is>
          <t>NORTH_DOCK</t>
        </is>
      </c>
      <c r="C25" t="inlineStr">
        <is>
          <t>CR_CELL</t>
        </is>
      </c>
      <c r="D25" t="n">
        <v>0.365389</v>
      </c>
      <c r="E25" t="inlineStr">
        <is>
          <t>kg/d</t>
        </is>
      </c>
      <c r="F25" t="inlineStr">
        <is>
          <t>study</t>
        </is>
      </c>
    </row>
    <row r="26">
      <c r="A26" t="inlineStr">
        <is>
          <t>IA-GYPSUM-SHIP</t>
        </is>
      </c>
      <c r="B26" t="inlineStr">
        <is>
          <t>HF_GEN</t>
        </is>
      </c>
      <c r="C26" t="inlineStr">
        <is>
          <t>NORTH_DOCK</t>
        </is>
      </c>
      <c r="D26" t="n">
        <v>0.575554</v>
      </c>
      <c r="E26" t="inlineStr">
        <is>
          <t>kg/d</t>
        </is>
      </c>
      <c r="F26" t="inlineStr">
        <is>
          <t>study</t>
        </is>
      </c>
    </row>
    <row r="27">
      <c r="A27" t="inlineStr">
        <is>
          <t>IA-H2O-MU</t>
        </is>
      </c>
      <c r="B27" t="inlineStr">
        <is>
          <t>NORTH_DOCK</t>
        </is>
      </c>
      <c r="C27" t="inlineStr">
        <is>
          <t>LEACH_CSTR_1</t>
        </is>
      </c>
      <c r="D27" t="n">
        <v>64.471934</v>
      </c>
      <c r="E27" t="inlineStr">
        <is>
          <t>kg/d</t>
        </is>
      </c>
      <c r="F27" t="inlineStr">
        <is>
          <t>study</t>
        </is>
      </c>
    </row>
    <row r="28">
      <c r="A28" t="inlineStr">
        <is>
          <t>IA-H2SO4-MU</t>
        </is>
      </c>
      <c r="B28" t="inlineStr">
        <is>
          <t>NORTH_DOCK</t>
        </is>
      </c>
      <c r="C28" t="inlineStr">
        <is>
          <t>HF_GEN</t>
        </is>
      </c>
      <c r="D28" t="n">
        <v>0.403768</v>
      </c>
      <c r="E28" t="inlineStr">
        <is>
          <t>kg/d</t>
        </is>
      </c>
      <c r="F28" t="inlineStr">
        <is>
          <t>study</t>
        </is>
      </c>
    </row>
    <row r="29">
      <c r="A29" t="inlineStr">
        <is>
          <t>IA-KROLL-CO</t>
        </is>
      </c>
      <c r="B29" t="inlineStr">
        <is>
          <t>TI_CELL</t>
        </is>
      </c>
      <c r="C29" t="inlineStr">
        <is>
          <t>NORTH_DOCK</t>
        </is>
      </c>
      <c r="D29" t="n">
        <v>0.585172</v>
      </c>
      <c r="E29" t="inlineStr">
        <is>
          <t>kg/d</t>
        </is>
      </c>
      <c r="F29" t="inlineStr">
        <is>
          <t>study</t>
        </is>
      </c>
    </row>
    <row r="30">
      <c r="A30" t="inlineStr">
        <is>
          <t>IA-KROLL-FLUX</t>
        </is>
      </c>
      <c r="B30" t="inlineStr">
        <is>
          <t>TI_CELL</t>
        </is>
      </c>
      <c r="C30" t="inlineStr">
        <is>
          <t>FLUX_PREP</t>
        </is>
      </c>
      <c r="D30" t="n">
        <v>0.039781</v>
      </c>
      <c r="E30" t="inlineStr">
        <is>
          <t>kg/d</t>
        </is>
      </c>
      <c r="F30" t="inlineStr">
        <is>
          <t>study</t>
        </is>
      </c>
    </row>
    <row r="31">
      <c r="A31" t="inlineStr">
        <is>
          <t>IA-MEOH-SHIP</t>
        </is>
      </c>
      <c r="B31" t="inlineStr">
        <is>
          <t>PROD_MEOH</t>
        </is>
      </c>
      <c r="C31" t="inlineStr">
        <is>
          <t>NORTH_DOCK</t>
        </is>
      </c>
      <c r="D31" t="n">
        <v>28.149712</v>
      </c>
      <c r="E31" t="inlineStr">
        <is>
          <t>kg/d</t>
        </is>
      </c>
      <c r="F31" t="inlineStr">
        <is>
          <t>study</t>
        </is>
      </c>
    </row>
    <row r="32">
      <c r="A32" t="inlineStr">
        <is>
          <t>IA-METAL-SHIP</t>
        </is>
      </c>
      <c r="B32" t="inlineStr">
        <is>
          <t>METAL_STORE</t>
        </is>
      </c>
      <c r="C32" t="inlineStr">
        <is>
          <t>NORTH_DOCK</t>
        </is>
      </c>
      <c r="D32" t="n">
        <v>10.8125</v>
      </c>
      <c r="E32" t="inlineStr">
        <is>
          <t>kg/d</t>
        </is>
      </c>
      <c r="F32" t="inlineStr">
        <is>
          <t>study</t>
        </is>
      </c>
    </row>
    <row r="33">
      <c r="A33" t="inlineStr">
        <is>
          <t>IA-MG-TI</t>
        </is>
      </c>
      <c r="B33" t="inlineStr">
        <is>
          <t>MG_POT</t>
        </is>
      </c>
      <c r="C33" t="inlineStr">
        <is>
          <t>TI_CELL</t>
        </is>
      </c>
      <c r="D33" t="n">
        <v>0.507761</v>
      </c>
      <c r="E33" t="inlineStr">
        <is>
          <t>kg/d</t>
        </is>
      </c>
      <c r="F33" t="inlineStr">
        <is>
          <t>study</t>
        </is>
      </c>
    </row>
    <row r="34">
      <c r="A34" t="inlineStr">
        <is>
          <t>IA-MGCL2-KROLL</t>
        </is>
      </c>
      <c r="B34" t="inlineStr">
        <is>
          <t>TI_CELL</t>
        </is>
      </c>
      <c r="C34" t="inlineStr">
        <is>
          <t>MG_POT</t>
        </is>
      </c>
      <c r="D34" t="n">
        <v>1.949292</v>
      </c>
      <c r="E34" t="inlineStr">
        <is>
          <t>kg/d</t>
        </is>
      </c>
      <c r="F34" t="inlineStr">
        <is>
          <t>study</t>
        </is>
      </c>
    </row>
    <row r="35">
      <c r="A35" t="inlineStr">
        <is>
          <t>IA-MGCL2-MU</t>
        </is>
      </c>
      <c r="B35" t="inlineStr">
        <is>
          <t>NORTH_DOCK</t>
        </is>
      </c>
      <c r="C35" t="inlineStr">
        <is>
          <t>MG_POT</t>
        </is>
      </c>
      <c r="D35" t="n">
        <v>0.039782</v>
      </c>
      <c r="E35" t="inlineStr">
        <is>
          <t>kg/d</t>
        </is>
      </c>
      <c r="F35" t="inlineStr">
        <is>
          <t>study</t>
        </is>
      </c>
    </row>
    <row r="36">
      <c r="A36" t="inlineStr">
        <is>
          <t>IA-MO-VENT</t>
        </is>
      </c>
      <c r="B36" t="inlineStr">
        <is>
          <t>MO_CELL</t>
        </is>
      </c>
      <c r="C36" t="inlineStr">
        <is>
          <t>NORTH_DOCK</t>
        </is>
      </c>
      <c r="D36" t="n">
        <v>0.043002</v>
      </c>
      <c r="E36" t="inlineStr">
        <is>
          <t>kg/d</t>
        </is>
      </c>
      <c r="F36" t="inlineStr">
        <is>
          <t>study</t>
        </is>
      </c>
    </row>
    <row r="37">
      <c r="A37" t="inlineStr">
        <is>
          <t>IA-MOO3-MU</t>
        </is>
      </c>
      <c r="B37" t="inlineStr">
        <is>
          <t>NORTH_DOCK</t>
        </is>
      </c>
      <c r="C37" t="inlineStr">
        <is>
          <t>MO_CELL</t>
        </is>
      </c>
      <c r="D37" t="n">
        <v>0.093766</v>
      </c>
      <c r="E37" t="inlineStr">
        <is>
          <t>kg/d</t>
        </is>
      </c>
      <c r="F37" t="inlineStr">
        <is>
          <t>study</t>
        </is>
      </c>
    </row>
    <row r="38">
      <c r="A38" t="inlineStr">
        <is>
          <t>IA-N2-VENT</t>
        </is>
      </c>
      <c r="B38" t="inlineStr">
        <is>
          <t>CRYO_N2</t>
        </is>
      </c>
      <c r="C38" t="inlineStr">
        <is>
          <t>NORTH_DOCK</t>
        </is>
      </c>
      <c r="D38" t="n">
        <v>3.099779</v>
      </c>
      <c r="E38" t="inlineStr">
        <is>
          <t>kg/d</t>
        </is>
      </c>
      <c r="F38" t="inlineStr">
        <is>
          <t>study</t>
        </is>
      </c>
    </row>
    <row r="39">
      <c r="A39" t="inlineStr">
        <is>
          <t>IA-NA-PURGE</t>
        </is>
      </c>
      <c r="B39" t="inlineStr">
        <is>
          <t>LEACH_CSTR_1</t>
        </is>
      </c>
      <c r="C39" t="inlineStr">
        <is>
          <t>NORTH_DOCK</t>
        </is>
      </c>
      <c r="D39" t="n">
        <v>4.3936</v>
      </c>
      <c r="E39" t="inlineStr">
        <is>
          <t>kg/d</t>
        </is>
      </c>
      <c r="F39" t="inlineStr">
        <is>
          <t>study</t>
        </is>
      </c>
    </row>
    <row r="40">
      <c r="A40" t="inlineStr">
        <is>
          <t>IA-NAOH-MU</t>
        </is>
      </c>
      <c r="B40" t="inlineStr">
        <is>
          <t>NORTH_DOCK</t>
        </is>
      </c>
      <c r="C40" t="inlineStr">
        <is>
          <t>EVAP_BASE</t>
        </is>
      </c>
      <c r="D40" t="n">
        <v>4.3936</v>
      </c>
      <c r="E40" t="inlineStr">
        <is>
          <t>kg/d</t>
        </is>
      </c>
      <c r="F40" t="inlineStr">
        <is>
          <t>study</t>
        </is>
      </c>
    </row>
    <row r="41">
      <c r="A41" t="inlineStr">
        <is>
          <t>IA-O2-SHIP</t>
        </is>
      </c>
      <c r="B41" t="inlineStr">
        <is>
          <t>PROD_O2</t>
        </is>
      </c>
      <c r="C41" t="inlineStr">
        <is>
          <t>NORTH_DOCK</t>
        </is>
      </c>
      <c r="D41" t="n">
        <v>22.876217</v>
      </c>
      <c r="E41" t="inlineStr">
        <is>
          <t>kg/d</t>
        </is>
      </c>
      <c r="F41" t="inlineStr">
        <is>
          <t>study</t>
        </is>
      </c>
    </row>
    <row r="42">
      <c r="A42" t="inlineStr">
        <is>
          <t>IA-PV-CURTAIL</t>
        </is>
      </c>
      <c r="B42" t="inlineStr">
        <is>
          <t>SOL_ARK_60K</t>
        </is>
      </c>
      <c r="C42" t="inlineStr">
        <is>
          <t>BOUNDARY_EXPORT</t>
        </is>
      </c>
      <c r="D42" t="n">
        <v>4.645</v>
      </c>
      <c r="E42" t="inlineStr">
        <is>
          <t>kW</t>
        </is>
      </c>
      <c r="F42" t="inlineStr">
        <is>
          <t>study</t>
        </is>
      </c>
    </row>
    <row r="43">
      <c r="A43" t="inlineStr">
        <is>
          <t>IA-Q1A-LOSS</t>
        </is>
      </c>
      <c r="B43" t="inlineStr">
        <is>
          <t>Q1_A</t>
        </is>
      </c>
      <c r="C43" t="inlineStr">
        <is>
          <t>BOUNDARY_EXPORT</t>
        </is>
      </c>
      <c r="D43" t="n">
        <v>0.25</v>
      </c>
      <c r="E43" t="inlineStr">
        <is>
          <t>kW</t>
        </is>
      </c>
      <c r="F43" t="inlineStr">
        <is>
          <t>study</t>
        </is>
      </c>
    </row>
    <row r="44">
      <c r="A44" t="inlineStr">
        <is>
          <t>IA-Q1B-LOSS</t>
        </is>
      </c>
      <c r="B44" t="inlineStr">
        <is>
          <t>Q1_B</t>
        </is>
      </c>
      <c r="C44" t="inlineStr">
        <is>
          <t>BOUNDARY_EXPORT</t>
        </is>
      </c>
      <c r="D44" t="n">
        <v>0.25</v>
      </c>
      <c r="E44" t="inlineStr">
        <is>
          <t>kW</t>
        </is>
      </c>
      <c r="F44" t="inlineStr">
        <is>
          <t>study</t>
        </is>
      </c>
    </row>
    <row r="45">
      <c r="A45" t="inlineStr">
        <is>
          <t>IA-Q2A-LOSS</t>
        </is>
      </c>
      <c r="B45" t="inlineStr">
        <is>
          <t>Q2_A</t>
        </is>
      </c>
      <c r="C45" t="inlineStr">
        <is>
          <t>BOUNDARY_EXPORT</t>
        </is>
      </c>
      <c r="D45" t="n">
        <v>0.17</v>
      </c>
      <c r="E45" t="inlineStr">
        <is>
          <t>kW</t>
        </is>
      </c>
      <c r="F45" t="inlineStr">
        <is>
          <t>study</t>
        </is>
      </c>
    </row>
    <row r="46">
      <c r="A46" t="inlineStr">
        <is>
          <t>IA-Q2B-LOSS</t>
        </is>
      </c>
      <c r="B46" t="inlineStr">
        <is>
          <t>Q2_B</t>
        </is>
      </c>
      <c r="C46" t="inlineStr">
        <is>
          <t>BOUNDARY_EXPORT</t>
        </is>
      </c>
      <c r="D46" t="n">
        <v>0.17</v>
      </c>
      <c r="E46" t="inlineStr">
        <is>
          <t>kW</t>
        </is>
      </c>
      <c r="F46" t="inlineStr">
        <is>
          <t>study</t>
        </is>
      </c>
    </row>
    <row r="47">
      <c r="A47" t="inlineStr">
        <is>
          <t>IA-SHELL-EXPORT</t>
        </is>
      </c>
      <c r="B47" t="inlineStr">
        <is>
          <t>SHELL_BREAK</t>
        </is>
      </c>
      <c r="C47" t="inlineStr">
        <is>
          <t>NORTH_DOCK</t>
        </is>
      </c>
      <c r="D47" t="n">
        <v>1</v>
      </c>
      <c r="E47" t="inlineStr">
        <is>
          <t>kg/d</t>
        </is>
      </c>
      <c r="F47" t="inlineStr">
        <is>
          <t>study</t>
        </is>
      </c>
    </row>
    <row r="48">
      <c r="A48" t="inlineStr">
        <is>
          <t>IA-SHELL-RECLAIM</t>
        </is>
      </c>
      <c r="B48" t="inlineStr">
        <is>
          <t>SHELL_BREAK</t>
        </is>
      </c>
      <c r="C48" t="inlineStr">
        <is>
          <t>SHELL_BUILD</t>
        </is>
      </c>
      <c r="D48" t="n">
        <v>7</v>
      </c>
      <c r="E48" t="inlineStr">
        <is>
          <t>kg/d</t>
        </is>
      </c>
      <c r="F48" t="inlineStr">
        <is>
          <t>study</t>
        </is>
      </c>
    </row>
    <row r="49">
      <c r="A49" t="inlineStr">
        <is>
          <t>IA-SILICA-MU</t>
        </is>
      </c>
      <c r="B49" t="inlineStr">
        <is>
          <t>NORTH_DOCK</t>
        </is>
      </c>
      <c r="C49" t="inlineStr">
        <is>
          <t>SHELL_BUILD</t>
        </is>
      </c>
      <c r="D49" t="n">
        <v>1</v>
      </c>
      <c r="E49" t="inlineStr">
        <is>
          <t>kg/d</t>
        </is>
      </c>
      <c r="F49" t="inlineStr">
        <is>
          <t>study</t>
        </is>
      </c>
    </row>
    <row r="50">
      <c r="A50" t="inlineStr">
        <is>
          <t>IA-SOLV-MU</t>
        </is>
      </c>
      <c r="B50" t="inlineStr">
        <is>
          <t>NORTH_DOCK</t>
        </is>
      </c>
      <c r="C50" t="inlineStr">
        <is>
          <t>WS_SOLV</t>
        </is>
      </c>
      <c r="D50" t="n">
        <v>0.209973</v>
      </c>
      <c r="E50" t="inlineStr">
        <is>
          <t>kg/d</t>
        </is>
      </c>
      <c r="F50" t="inlineStr">
        <is>
          <t>study</t>
        </is>
      </c>
    </row>
    <row r="51">
      <c r="A51" t="inlineStr">
        <is>
          <t>IA-TIO2-MU</t>
        </is>
      </c>
      <c r="B51" t="inlineStr">
        <is>
          <t>NORTH_DOCK</t>
        </is>
      </c>
      <c r="C51" t="inlineStr">
        <is>
          <t>TI_CELL</t>
        </is>
      </c>
      <c r="D51" t="n">
        <v>0.834247</v>
      </c>
      <c r="E51" t="inlineStr">
        <is>
          <t>kg/d</t>
        </is>
      </c>
      <c r="F51" t="inlineStr">
        <is>
          <t>study</t>
        </is>
      </c>
    </row>
    <row r="52">
      <c r="A52" t="inlineStr">
        <is>
          <t>IA-WAX-MU</t>
        </is>
      </c>
      <c r="B52" t="inlineStr">
        <is>
          <t>NORTH_DOCK</t>
        </is>
      </c>
      <c r="C52" t="inlineStr">
        <is>
          <t>WAX_PATTERN</t>
        </is>
      </c>
      <c r="D52" t="n">
        <v>0.2</v>
      </c>
      <c r="E52" t="inlineStr">
        <is>
          <t>kg/d</t>
        </is>
      </c>
      <c r="F52" t="inlineStr">
        <is>
          <t>study</t>
        </is>
      </c>
    </row>
    <row r="53">
      <c r="A53" t="inlineStr">
        <is>
          <t>IA-ZNBR-LOSS</t>
        </is>
      </c>
      <c r="B53" t="inlineStr">
        <is>
          <t>ZNBR2</t>
        </is>
      </c>
      <c r="C53" t="inlineStr">
        <is>
          <t>BOUNDARY_EXPORT</t>
        </is>
      </c>
      <c r="D53" t="n">
        <v>1.67</v>
      </c>
      <c r="E53" t="inlineStr">
        <is>
          <t>kW</t>
        </is>
      </c>
      <c r="F53" t="inlineStr">
        <is>
          <t>study</t>
        </is>
      </c>
    </row>
  </sheetData>
  <autoFilter ref="A1:H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docs-authority/_model_workbook.py (generated from the unified calc sources)</dc:creator>
  <dc:title xmlns:dc="http://purl.org/dc/elements/1.1/">AQS model workbook (generated)</dc:title>
  <dcterms:created xmlns:dcterms="http://purl.org/dc/terms/" xmlns:xsi="http://www.w3.org/2001/XMLSchema-instance" xsi:type="dcterms:W3CDTF">2026-06-10T00:00:00Z</dcterms:created>
  <dcterms:modified xmlns:dcterms="http://purl.org/dc/terms/" xmlns:xsi="http://www.w3.org/2001/XMLSchema-instance" xsi:type="dcterms:W3CDTF">2026-06-10T00:00:00Z</dcterms:modified>
  <cp:lastModifiedBy>docs-authority/_model_workbook.py</cp:lastModifiedBy>
</cp:coreProperties>
</file>