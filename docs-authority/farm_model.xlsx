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2"/>
    <sheet name="Crops" sheetId="2" state="visible" r:id="rId3"/>
    <sheet name="Stag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<sst xmlns="http://schemas.openxmlformats.org/spreadsheetml/2006/main" count="85" uniqueCount="72">
  <si>
    <t xml:space="preserve">Farm model assumptions. Study. AQS-DUTY-043.</t>
  </si>
  <si>
    <t xml:space="preserve">name</t>
  </si>
  <si>
    <t xml:space="preserve">value</t>
  </si>
  <si>
    <t xml:space="preserve">unit</t>
  </si>
  <si>
    <t xml:space="preserve">crew</t>
  </si>
  <si>
    <t xml:space="preserve">people</t>
  </si>
  <si>
    <t xml:space="preserve">kcal_per_person</t>
  </si>
  <si>
    <t xml:space="preserve">kcal/d</t>
  </si>
  <si>
    <t xml:space="preserve">staple_fraction</t>
  </si>
  <si>
    <t xml:space="preserve">of calories</t>
  </si>
  <si>
    <t xml:space="preserve">potato_kcal_per_kg</t>
  </si>
  <si>
    <t xml:space="preserve">kcal/kg fresh</t>
  </si>
  <si>
    <t xml:space="preserve">wheat_kcal_per_kg</t>
  </si>
  <si>
    <t xml:space="preserve">kcal/kg dry</t>
  </si>
  <si>
    <t xml:space="preserve">potato_yield</t>
  </si>
  <si>
    <t xml:space="preserve">kg/m2/d fresh</t>
  </si>
  <si>
    <t xml:space="preserve">wheat_yield</t>
  </si>
  <si>
    <t xml:space="preserve">kg/m2/d dry, one layer</t>
  </si>
  <si>
    <t xml:space="preserve">wheat_layers</t>
  </si>
  <si>
    <t xml:space="preserve">layers</t>
  </si>
  <si>
    <t xml:space="preserve">veg_yield</t>
  </si>
  <si>
    <t xml:space="preserve">duckweed_yield</t>
  </si>
  <si>
    <t xml:space="preserve">fish_n_retain</t>
  </si>
  <si>
    <t xml:space="preserve">fraction</t>
  </si>
  <si>
    <t xml:space="preserve">fish_other_retain</t>
  </si>
  <si>
    <t xml:space="preserve">fish_k_retain</t>
  </si>
  <si>
    <t xml:space="preserve">staple_kcal</t>
  </si>
  <si>
    <t xml:space="preserve">potato_kg_d</t>
  </si>
  <si>
    <t xml:space="preserve">potato_m2</t>
  </si>
  <si>
    <t xml:space="preserve">wheat_kg_d</t>
  </si>
  <si>
    <t xml:space="preserve">wheat_floor_m2</t>
  </si>
  <si>
    <t xml:space="preserve">crop</t>
  </si>
  <si>
    <t xml:space="preserve">system</t>
  </si>
  <si>
    <t xml:space="preserve">area_m2</t>
  </si>
  <si>
    <t xml:space="preserve">yield_kg_m2_d</t>
  </si>
  <si>
    <t xml:space="preserve">harvest_kg_d</t>
  </si>
  <si>
    <t xml:space="preserve">N_frac</t>
  </si>
  <si>
    <t xml:space="preserve">P_frac</t>
  </si>
  <si>
    <t xml:space="preserve">K_frac</t>
  </si>
  <si>
    <t xml:space="preserve">N_g_d</t>
  </si>
  <si>
    <t xml:space="preserve">P_g_d</t>
  </si>
  <si>
    <t xml:space="preserve">K_g_d</t>
  </si>
  <si>
    <t xml:space="preserve">potato</t>
  </si>
  <si>
    <t xml:space="preserve">media</t>
  </si>
  <si>
    <t xml:space="preserve">sweet potato</t>
  </si>
  <si>
    <t xml:space="preserve">wheat</t>
  </si>
  <si>
    <t xml:space="preserve">stacked media</t>
  </si>
  <si>
    <t xml:space="preserve">lettuce</t>
  </si>
  <si>
    <t xml:space="preserve">film</t>
  </si>
  <si>
    <t xml:space="preserve">spinach</t>
  </si>
  <si>
    <t xml:space="preserve">basil</t>
  </si>
  <si>
    <t xml:space="preserve">strawberry</t>
  </si>
  <si>
    <t xml:space="preserve">mister</t>
  </si>
  <si>
    <t xml:space="preserve">tomato</t>
  </si>
  <si>
    <t xml:space="preserve">dual root</t>
  </si>
  <si>
    <t xml:space="preserve">cucumber</t>
  </si>
  <si>
    <t xml:space="preserve">pepper</t>
  </si>
  <si>
    <t xml:space="preserve">kale</t>
  </si>
  <si>
    <t xml:space="preserve">duckweed</t>
  </si>
  <si>
    <t xml:space="preserve">raceway</t>
  </si>
  <si>
    <t xml:space="preserve">total</t>
  </si>
  <si>
    <t xml:space="preserve">stage</t>
  </si>
  <si>
    <t xml:space="preserve">note</t>
  </si>
  <si>
    <t xml:space="preserve">fish feed</t>
  </si>
  <si>
    <t xml:space="preserve">larvae, duckweed, azolla</t>
  </si>
  <si>
    <t xml:space="preserve">retained in fish</t>
  </si>
  <si>
    <t xml:space="preserve">excreted to filter</t>
  </si>
  <si>
    <t xml:space="preserve">crop uptake</t>
  </si>
  <si>
    <t xml:space="preserve">gap</t>
  </si>
  <si>
    <t xml:space="preserve">negative is a makeup</t>
  </si>
  <si>
    <t xml:space="preserve">urine makeup</t>
  </si>
  <si>
    <t xml:space="preserve">does not return to the tank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</si>
</sst>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92524"/>
        <bgColor rgb="FF333300"/>
      </patternFill>
    </fill>
    <fill>
      <patternFill patternType="solid">
        <fgColor rgb="FFFEF3C7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925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5" min="2" style="1" width="1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true" outlineLevel="0" collapsed="false">
      <c r="A3" s="4" t="s">
        <v>4</v>
      </c>
      <c r="B3" s="5" t="n">
        <v>4</v>
      </c>
      <c r="C3" s="4" t="s">
        <v>5</v>
      </c>
    </row>
    <row r="4" customFormat="false" ht="15" hidden="false" customHeight="true" outlineLevel="0" collapsed="false">
      <c r="A4" s="4" t="s">
        <v>6</v>
      </c>
      <c r="B4" s="5" t="n">
        <v>2000</v>
      </c>
      <c r="C4" s="4" t="s">
        <v>7</v>
      </c>
    </row>
    <row r="5" customFormat="false" ht="15" hidden="false" customHeight="true" outlineLevel="0" collapsed="false">
      <c r="A5" s="4" t="s">
        <v>8</v>
      </c>
      <c r="B5" s="5" t="n">
        <v>0.6</v>
      </c>
      <c r="C5" s="4" t="s">
        <v>9</v>
      </c>
    </row>
    <row r="6" customFormat="false" ht="15" hidden="false" customHeight="true" outlineLevel="0" collapsed="false">
      <c r="A6" s="4" t="s">
        <v>10</v>
      </c>
      <c r="B6" s="5" t="n">
        <v>770</v>
      </c>
      <c r="C6" s="4" t="s">
        <v>11</v>
      </c>
    </row>
    <row r="7" customFormat="false" ht="15" hidden="false" customHeight="true" outlineLevel="0" collapsed="false">
      <c r="A7" s="4" t="s">
        <v>12</v>
      </c>
      <c r="B7" s="5" t="n">
        <v>3400</v>
      </c>
      <c r="C7" s="4" t="s">
        <v>13</v>
      </c>
    </row>
    <row r="8" customFormat="false" ht="15" hidden="false" customHeight="true" outlineLevel="0" collapsed="false">
      <c r="A8" s="4" t="s">
        <v>14</v>
      </c>
      <c r="B8" s="5" t="n">
        <v>0.09</v>
      </c>
      <c r="C8" s="4" t="s">
        <v>15</v>
      </c>
    </row>
    <row r="9" customFormat="false" ht="15" hidden="false" customHeight="true" outlineLevel="0" collapsed="false">
      <c r="A9" s="4" t="s">
        <v>16</v>
      </c>
      <c r="B9" s="5" t="n">
        <v>0.019</v>
      </c>
      <c r="C9" s="4" t="s">
        <v>17</v>
      </c>
    </row>
    <row r="10" customFormat="false" ht="15" hidden="false" customHeight="true" outlineLevel="0" collapsed="false">
      <c r="A10" s="4" t="s">
        <v>18</v>
      </c>
      <c r="B10" s="5" t="n">
        <v>2</v>
      </c>
      <c r="C10" s="4" t="s">
        <v>19</v>
      </c>
    </row>
    <row r="11" customFormat="false" ht="15" hidden="false" customHeight="true" outlineLevel="0" collapsed="false">
      <c r="A11" s="4" t="s">
        <v>20</v>
      </c>
      <c r="B11" s="5" t="n">
        <v>0.08</v>
      </c>
      <c r="C11" s="4" t="s">
        <v>15</v>
      </c>
    </row>
    <row r="12" customFormat="false" ht="15" hidden="false" customHeight="true" outlineLevel="0" collapsed="false">
      <c r="A12" s="4" t="s">
        <v>21</v>
      </c>
      <c r="B12" s="5" t="n">
        <v>0.035</v>
      </c>
      <c r="C12" s="4" t="s">
        <v>15</v>
      </c>
    </row>
    <row r="13" customFormat="false" ht="15" hidden="false" customHeight="true" outlineLevel="0" collapsed="false">
      <c r="A13" s="4" t="s">
        <v>22</v>
      </c>
      <c r="B13" s="5" t="n">
        <v>0.3</v>
      </c>
      <c r="C13" s="4" t="s">
        <v>23</v>
      </c>
    </row>
    <row r="14" customFormat="false" ht="15" hidden="false" customHeight="true" outlineLevel="0" collapsed="false">
      <c r="A14" s="4" t="s">
        <v>24</v>
      </c>
      <c r="B14" s="5" t="n">
        <v>0.2</v>
      </c>
      <c r="C14" s="4" t="s">
        <v>23</v>
      </c>
    </row>
    <row r="15" customFormat="false" ht="15" hidden="false" customHeight="true" outlineLevel="0" collapsed="false">
      <c r="A15" s="4" t="s">
        <v>25</v>
      </c>
      <c r="B15" s="5" t="n">
        <v>0.15</v>
      </c>
      <c r="C15" s="4" t="s">
        <v>23</v>
      </c>
    </row>
    <row r="18" customFormat="false" ht="15" hidden="false" customHeight="true" outlineLevel="0" collapsed="false">
      <c r="A18" s="4" t="s">
        <v>26</v>
      </c>
      <c r="B18" s="6" t="n">
        <f aca="false">B3*B4*B5</f>
        <v>4800</v>
      </c>
    </row>
    <row r="19" customFormat="false" ht="15" hidden="false" customHeight="true" outlineLevel="0" collapsed="false">
      <c r="A19" s="4" t="s">
        <v>27</v>
      </c>
      <c r="B19" s="6" t="n">
        <f aca="false">B18/B6</f>
        <v>6.23376623376623</v>
      </c>
    </row>
    <row r="20" customFormat="false" ht="15" hidden="false" customHeight="true" outlineLevel="0" collapsed="false">
      <c r="A20" s="4" t="s">
        <v>28</v>
      </c>
      <c r="B20" s="6" t="n">
        <f aca="false">B19/B8</f>
        <v>69.2640692640693</v>
      </c>
    </row>
    <row r="21" customFormat="false" ht="15" hidden="false" customHeight="true" outlineLevel="0" collapsed="false">
      <c r="A21" s="4" t="s">
        <v>29</v>
      </c>
      <c r="B21" s="6" t="n">
        <f aca="false">B18/B7</f>
        <v>1.41176470588235</v>
      </c>
    </row>
    <row r="22" customFormat="false" ht="15" hidden="false" customHeight="true" outlineLevel="0" collapsed="false">
      <c r="A22" s="4" t="s">
        <v>30</v>
      </c>
      <c r="B22" s="6" t="n">
        <f aca="false">B21/B9/B10</f>
        <v>37.1517027863777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5" min="2" style="1" width="16"/>
  </cols>
  <sheetData>
    <row r="1" customFormat="false" ht="15" hidden="false" customHeight="true" outlineLevel="0" collapsed="false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customFormat="false" ht="15" hidden="false" customHeight="true" outlineLevel="0" collapsed="false">
      <c r="A2" s="4" t="s">
        <v>42</v>
      </c>
      <c r="B2" s="4" t="s">
        <v>43</v>
      </c>
      <c r="C2" s="7" t="n">
        <f aca="false">Assumptions!B20</f>
        <v>69.2640692640693</v>
      </c>
      <c r="D2" s="7" t="n">
        <f aca="false">Assumptions!B8</f>
        <v>0.09</v>
      </c>
      <c r="E2" s="6" t="n">
        <f aca="false">C2*D2</f>
        <v>6.23376623376623</v>
      </c>
      <c r="F2" s="8" t="n">
        <v>0.0016</v>
      </c>
      <c r="G2" s="8" t="n">
        <v>0.0004</v>
      </c>
      <c r="H2" s="8" t="n">
        <v>0.004</v>
      </c>
      <c r="I2" s="6" t="n">
        <f aca="false">E2*F2*1000</f>
        <v>9.97402597402597</v>
      </c>
      <c r="J2" s="6" t="n">
        <f aca="false">E2*G2*1000</f>
        <v>2.49350649350649</v>
      </c>
      <c r="K2" s="6" t="n">
        <f aca="false">E2*H2*1000</f>
        <v>24.9350649350649</v>
      </c>
    </row>
    <row r="3" customFormat="false" ht="15" hidden="false" customHeight="true" outlineLevel="0" collapsed="false">
      <c r="A3" s="4" t="s">
        <v>44</v>
      </c>
      <c r="B3" s="4" t="s">
        <v>43</v>
      </c>
      <c r="C3" s="6" t="n">
        <v>20</v>
      </c>
      <c r="D3" s="6" t="n">
        <v>0.07</v>
      </c>
      <c r="E3" s="6" t="n">
        <f aca="false">C3*D3</f>
        <v>1.4</v>
      </c>
      <c r="F3" s="8" t="n">
        <v>0.0014</v>
      </c>
      <c r="G3" s="8" t="n">
        <v>0.0004</v>
      </c>
      <c r="H3" s="8" t="n">
        <v>0.003</v>
      </c>
      <c r="I3" s="6" t="n">
        <f aca="false">E3*F3*1000</f>
        <v>1.96</v>
      </c>
      <c r="J3" s="6" t="n">
        <f aca="false">E3*G3*1000</f>
        <v>0.56</v>
      </c>
      <c r="K3" s="6" t="n">
        <f aca="false">E3*H3*1000</f>
        <v>4.2</v>
      </c>
    </row>
    <row r="4" customFormat="false" ht="15" hidden="false" customHeight="true" outlineLevel="0" collapsed="false">
      <c r="A4" s="4" t="s">
        <v>45</v>
      </c>
      <c r="B4" s="4" t="s">
        <v>46</v>
      </c>
      <c r="C4" s="7" t="n">
        <f aca="false">Assumptions!B22</f>
        <v>37.1517027863777</v>
      </c>
      <c r="D4" s="7" t="n">
        <f aca="false">Assumptions!B9</f>
        <v>0.019</v>
      </c>
      <c r="E4" s="6" t="n">
        <f aca="false">C4*D4</f>
        <v>0.705882352941177</v>
      </c>
      <c r="F4" s="8" t="n">
        <v>0.02</v>
      </c>
      <c r="G4" s="8" t="n">
        <v>0.004</v>
      </c>
      <c r="H4" s="8" t="n">
        <v>0.005</v>
      </c>
      <c r="I4" s="6" t="n">
        <f aca="false">E4*F4*1000</f>
        <v>14.1176470588235</v>
      </c>
      <c r="J4" s="6" t="n">
        <f aca="false">E4*G4*1000</f>
        <v>2.82352941176471</v>
      </c>
      <c r="K4" s="6" t="n">
        <f aca="false">E4*H4*1000</f>
        <v>3.52941176470588</v>
      </c>
    </row>
    <row r="5" customFormat="false" ht="15" hidden="false" customHeight="true" outlineLevel="0" collapsed="false">
      <c r="A5" s="4" t="s">
        <v>47</v>
      </c>
      <c r="B5" s="4" t="s">
        <v>48</v>
      </c>
      <c r="C5" s="6" t="n">
        <v>4</v>
      </c>
      <c r="D5" s="6" t="n">
        <v>0.08</v>
      </c>
      <c r="E5" s="6" t="n">
        <f aca="false">C5*D5</f>
        <v>0.32</v>
      </c>
      <c r="F5" s="8" t="n">
        <v>0.002</v>
      </c>
      <c r="G5" s="8" t="n">
        <v>0.0003</v>
      </c>
      <c r="H5" s="8" t="n">
        <v>0.003</v>
      </c>
      <c r="I5" s="6" t="n">
        <f aca="false">E5*F5*1000</f>
        <v>0.64</v>
      </c>
      <c r="J5" s="6" t="n">
        <f aca="false">E5*G5*1000</f>
        <v>0.096</v>
      </c>
      <c r="K5" s="6" t="n">
        <f aca="false">E5*H5*1000</f>
        <v>0.96</v>
      </c>
    </row>
    <row r="6" customFormat="false" ht="15" hidden="false" customHeight="true" outlineLevel="0" collapsed="false">
      <c r="A6" s="4" t="s">
        <v>49</v>
      </c>
      <c r="B6" s="4" t="s">
        <v>48</v>
      </c>
      <c r="C6" s="6" t="n">
        <v>2</v>
      </c>
      <c r="D6" s="6" t="n">
        <v>0.08</v>
      </c>
      <c r="E6" s="6" t="n">
        <f aca="false">C6*D6</f>
        <v>0.16</v>
      </c>
      <c r="F6" s="8" t="n">
        <v>0.0035</v>
      </c>
      <c r="G6" s="8" t="n">
        <v>0.0005</v>
      </c>
      <c r="H6" s="8" t="n">
        <v>0.005</v>
      </c>
      <c r="I6" s="6" t="n">
        <f aca="false">E6*F6*1000</f>
        <v>0.56</v>
      </c>
      <c r="J6" s="6" t="n">
        <f aca="false">E6*G6*1000</f>
        <v>0.08</v>
      </c>
      <c r="K6" s="6" t="n">
        <f aca="false">E6*H6*1000</f>
        <v>0.8</v>
      </c>
    </row>
    <row r="7" customFormat="false" ht="15" hidden="false" customHeight="true" outlineLevel="0" collapsed="false">
      <c r="A7" s="4" t="s">
        <v>50</v>
      </c>
      <c r="B7" s="4" t="s">
        <v>48</v>
      </c>
      <c r="C7" s="6" t="n">
        <v>1</v>
      </c>
      <c r="D7" s="6" t="n">
        <v>0.05</v>
      </c>
      <c r="E7" s="6" t="n">
        <f aca="false">C7*D7</f>
        <v>0.05</v>
      </c>
      <c r="F7" s="8" t="n">
        <v>0.003</v>
      </c>
      <c r="G7" s="8" t="n">
        <v>0.0004</v>
      </c>
      <c r="H7" s="8" t="n">
        <v>0.003</v>
      </c>
      <c r="I7" s="6" t="n">
        <f aca="false">E7*F7*1000</f>
        <v>0.15</v>
      </c>
      <c r="J7" s="6" t="n">
        <f aca="false">E7*G7*1000</f>
        <v>0.02</v>
      </c>
      <c r="K7" s="6" t="n">
        <f aca="false">E7*H7*1000</f>
        <v>0.15</v>
      </c>
    </row>
    <row r="8" customFormat="false" ht="15" hidden="false" customHeight="true" outlineLevel="0" collapsed="false">
      <c r="A8" s="4" t="s">
        <v>51</v>
      </c>
      <c r="B8" s="4" t="s">
        <v>52</v>
      </c>
      <c r="C8" s="6" t="n">
        <v>4</v>
      </c>
      <c r="D8" s="6" t="n">
        <v>0.04</v>
      </c>
      <c r="E8" s="6" t="n">
        <f aca="false">C8*D8</f>
        <v>0.16</v>
      </c>
      <c r="F8" s="8" t="n">
        <v>0.001</v>
      </c>
      <c r="G8" s="8" t="n">
        <v>0.0003</v>
      </c>
      <c r="H8" s="8" t="n">
        <v>0.002</v>
      </c>
      <c r="I8" s="6" t="n">
        <f aca="false">E8*F8*1000</f>
        <v>0.16</v>
      </c>
      <c r="J8" s="6" t="n">
        <f aca="false">E8*G8*1000</f>
        <v>0.048</v>
      </c>
      <c r="K8" s="6" t="n">
        <f aca="false">E8*H8*1000</f>
        <v>0.32</v>
      </c>
    </row>
    <row r="9" customFormat="false" ht="15" hidden="false" customHeight="true" outlineLevel="0" collapsed="false">
      <c r="A9" s="4" t="s">
        <v>53</v>
      </c>
      <c r="B9" s="4" t="s">
        <v>54</v>
      </c>
      <c r="C9" s="6" t="n">
        <v>6</v>
      </c>
      <c r="D9" s="6" t="n">
        <v>0.1</v>
      </c>
      <c r="E9" s="6" t="n">
        <f aca="false">C9*D9</f>
        <v>0.6</v>
      </c>
      <c r="F9" s="8" t="n">
        <v>0.0015</v>
      </c>
      <c r="G9" s="8" t="n">
        <v>0.0003</v>
      </c>
      <c r="H9" s="8" t="n">
        <v>0.0025</v>
      </c>
      <c r="I9" s="6" t="n">
        <f aca="false">E9*F9*1000</f>
        <v>0.9</v>
      </c>
      <c r="J9" s="6" t="n">
        <f aca="false">E9*G9*1000</f>
        <v>0.18</v>
      </c>
      <c r="K9" s="6" t="n">
        <f aca="false">E9*H9*1000</f>
        <v>1.5</v>
      </c>
    </row>
    <row r="10" customFormat="false" ht="15" hidden="false" customHeight="true" outlineLevel="0" collapsed="false">
      <c r="A10" s="4" t="s">
        <v>55</v>
      </c>
      <c r="B10" s="4" t="s">
        <v>54</v>
      </c>
      <c r="C10" s="6" t="n">
        <v>4</v>
      </c>
      <c r="D10" s="6" t="n">
        <v>0.1</v>
      </c>
      <c r="E10" s="6" t="n">
        <f aca="false">C10*D10</f>
        <v>0.4</v>
      </c>
      <c r="F10" s="8" t="n">
        <v>0.0012</v>
      </c>
      <c r="G10" s="8" t="n">
        <v>0.0003</v>
      </c>
      <c r="H10" s="8" t="n">
        <v>0.002</v>
      </c>
      <c r="I10" s="6" t="n">
        <f aca="false">E10*F10*1000</f>
        <v>0.48</v>
      </c>
      <c r="J10" s="6" t="n">
        <f aca="false">E10*G10*1000</f>
        <v>0.12</v>
      </c>
      <c r="K10" s="6" t="n">
        <f aca="false">E10*H10*1000</f>
        <v>0.8</v>
      </c>
    </row>
    <row r="11" customFormat="false" ht="15" hidden="false" customHeight="true" outlineLevel="0" collapsed="false">
      <c r="A11" s="4" t="s">
        <v>56</v>
      </c>
      <c r="B11" s="4" t="s">
        <v>54</v>
      </c>
      <c r="C11" s="6" t="n">
        <v>3</v>
      </c>
      <c r="D11" s="6" t="n">
        <v>0.06</v>
      </c>
      <c r="E11" s="6" t="n">
        <f aca="false">C11*D11</f>
        <v>0.18</v>
      </c>
      <c r="F11" s="8" t="n">
        <v>0.002</v>
      </c>
      <c r="G11" s="8" t="n">
        <v>0.0003</v>
      </c>
      <c r="H11" s="8" t="n">
        <v>0.0022</v>
      </c>
      <c r="I11" s="6" t="n">
        <f aca="false">E11*F11*1000</f>
        <v>0.36</v>
      </c>
      <c r="J11" s="6" t="n">
        <f aca="false">E11*G11*1000</f>
        <v>0.054</v>
      </c>
      <c r="K11" s="6" t="n">
        <f aca="false">E11*H11*1000</f>
        <v>0.396</v>
      </c>
    </row>
    <row r="12" customFormat="false" ht="15" hidden="false" customHeight="true" outlineLevel="0" collapsed="false">
      <c r="A12" s="4" t="s">
        <v>57</v>
      </c>
      <c r="B12" s="4" t="s">
        <v>43</v>
      </c>
      <c r="C12" s="6" t="n">
        <v>2</v>
      </c>
      <c r="D12" s="6" t="n">
        <v>0.05</v>
      </c>
      <c r="E12" s="6" t="n">
        <f aca="false">C12*D12</f>
        <v>0.1</v>
      </c>
      <c r="F12" s="8" t="n">
        <v>0.003</v>
      </c>
      <c r="G12" s="8" t="n">
        <v>0.0004</v>
      </c>
      <c r="H12" s="8" t="n">
        <v>0.0035</v>
      </c>
      <c r="I12" s="6" t="n">
        <f aca="false">E12*F12*1000</f>
        <v>0.3</v>
      </c>
      <c r="J12" s="6" t="n">
        <f aca="false">E12*G12*1000</f>
        <v>0.04</v>
      </c>
      <c r="K12" s="6" t="n">
        <f aca="false">E12*H12*1000</f>
        <v>0.35</v>
      </c>
    </row>
    <row r="13" customFormat="false" ht="15" hidden="false" customHeight="true" outlineLevel="0" collapsed="false">
      <c r="A13" s="4" t="s">
        <v>58</v>
      </c>
      <c r="B13" s="4" t="s">
        <v>59</v>
      </c>
      <c r="C13" s="6" t="n">
        <v>26</v>
      </c>
      <c r="D13" s="6" t="n">
        <v>0.035</v>
      </c>
      <c r="E13" s="6" t="n">
        <f aca="false">C13*D13</f>
        <v>0.91</v>
      </c>
      <c r="F13" s="8" t="n">
        <v>0.004</v>
      </c>
      <c r="G13" s="8" t="n">
        <v>0.0008</v>
      </c>
      <c r="H13" s="8" t="n">
        <v>0.004</v>
      </c>
      <c r="I13" s="6" t="n">
        <f aca="false">E13*F13*1000</f>
        <v>3.64</v>
      </c>
      <c r="J13" s="6" t="n">
        <f aca="false">E13*G13*1000</f>
        <v>0.728</v>
      </c>
      <c r="K13" s="6" t="n">
        <f aca="false">E13*H13*1000</f>
        <v>3.64</v>
      </c>
    </row>
    <row r="14" customFormat="false" ht="15" hidden="false" customHeight="true" outlineLevel="0" collapsed="false">
      <c r="A14" s="2" t="s">
        <v>60</v>
      </c>
      <c r="C14" s="4" t="n">
        <f aca="false">SUM(C2:C13)</f>
        <v>178.415772050447</v>
      </c>
      <c r="E14" s="4" t="n">
        <f aca="false">SUM(E2:E13)</f>
        <v>11.2196485867074</v>
      </c>
      <c r="I14" s="4" t="n">
        <f aca="false">SUM(I2:I13)</f>
        <v>33.2416730328495</v>
      </c>
      <c r="J14" s="4" t="n">
        <f aca="false">SUM(J2:J13)</f>
        <v>7.2430359052712</v>
      </c>
      <c r="K14" s="4" t="n">
        <f aca="false">SUM(K2:K13)</f>
        <v>41.5804766997708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5" min="2" style="1" width="16"/>
  </cols>
  <sheetData>
    <row r="1" customFormat="false" ht="15" hidden="false" customHeight="true" outlineLevel="0" collapsed="false">
      <c r="A1" s="3" t="s">
        <v>61</v>
      </c>
      <c r="B1" s="3" t="s">
        <v>39</v>
      </c>
      <c r="C1" s="3" t="s">
        <v>40</v>
      </c>
      <c r="D1" s="3" t="s">
        <v>41</v>
      </c>
      <c r="E1" s="3" t="s">
        <v>62</v>
      </c>
    </row>
    <row r="2" customFormat="false" ht="15" hidden="false" customHeight="true" outlineLevel="0" collapsed="false">
      <c r="A2" s="4" t="s">
        <v>63</v>
      </c>
      <c r="B2" s="7" t="n">
        <v>10.7</v>
      </c>
      <c r="C2" s="7" t="n">
        <v>1.8</v>
      </c>
      <c r="D2" s="7" t="n">
        <v>2.6</v>
      </c>
      <c r="E2" s="4" t="s">
        <v>64</v>
      </c>
    </row>
    <row r="3" customFormat="false" ht="15" hidden="false" customHeight="true" outlineLevel="0" collapsed="false">
      <c r="A3" s="4" t="s">
        <v>65</v>
      </c>
      <c r="B3" s="6" t="n">
        <f aca="false">B2*Assumptions!B13</f>
        <v>3.21</v>
      </c>
      <c r="C3" s="6" t="n">
        <f aca="false">C2*Assumptions!B14</f>
        <v>0.36</v>
      </c>
      <c r="D3" s="6" t="n">
        <f aca="false">D2*Assumptions!B15</f>
        <v>0.39</v>
      </c>
      <c r="E3" s="4"/>
    </row>
    <row r="4" customFormat="false" ht="15" hidden="false" customHeight="true" outlineLevel="0" collapsed="false">
      <c r="A4" s="4" t="s">
        <v>66</v>
      </c>
      <c r="B4" s="6" t="n">
        <f aca="false">B2-B3</f>
        <v>7.49</v>
      </c>
      <c r="C4" s="6" t="n">
        <f aca="false">C2-C3</f>
        <v>1.44</v>
      </c>
      <c r="D4" s="6" t="n">
        <f aca="false">D2-D3</f>
        <v>2.21</v>
      </c>
      <c r="E4" s="4"/>
    </row>
    <row r="5" customFormat="false" ht="15" hidden="false" customHeight="true" outlineLevel="0" collapsed="false">
      <c r="A5" s="4" t="s">
        <v>67</v>
      </c>
      <c r="B5" s="6" t="n">
        <f aca="false">Crops!I14</f>
        <v>33.2416730328495</v>
      </c>
      <c r="C5" s="6" t="n">
        <f aca="false">Crops!J14</f>
        <v>7.2430359052712</v>
      </c>
      <c r="D5" s="6" t="n">
        <f aca="false">Crops!K14</f>
        <v>41.5804766997708</v>
      </c>
      <c r="E5" s="4"/>
    </row>
    <row r="6" customFormat="false" ht="15" hidden="false" customHeight="true" outlineLevel="0" collapsed="false">
      <c r="A6" s="4" t="s">
        <v>68</v>
      </c>
      <c r="B6" s="6" t="n">
        <f aca="false">B4-B5</f>
        <v>-25.7516730328495</v>
      </c>
      <c r="C6" s="6" t="n">
        <f aca="false">C4-C5</f>
        <v>-5.8030359052712</v>
      </c>
      <c r="D6" s="6" t="n">
        <f aca="false">D4-D5</f>
        <v>-39.3704766997708</v>
      </c>
      <c r="E6" s="4" t="s">
        <v>69</v>
      </c>
    </row>
    <row r="7" customFormat="false" ht="15" hidden="false" customHeight="true" outlineLevel="0" collapsed="false">
      <c r="A7" s="4" t="s">
        <v>70</v>
      </c>
      <c r="B7" s="7" t="n">
        <v>9</v>
      </c>
      <c r="C7" s="7" t="n">
        <v>0.8</v>
      </c>
      <c r="D7" s="7" t="n">
        <v>2.5</v>
      </c>
      <c r="E7" s="4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2026-10-09T09:36:40Z</dcterms:created>
  <dc:creator>openpyxl</dc:creator>
  <dc:description/>
  <dc:language>en-US</dc:language>
  <cp:lastModifiedBy/>
  <dcterms:modified xsi:type="dcterms:W3CDTF">2026-10-09T09:37:22Z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